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53d5ff64348c0/Documents/"/>
    </mc:Choice>
  </mc:AlternateContent>
  <xr:revisionPtr revIDLastSave="440" documentId="8_{2F8F988F-570C-49A6-B952-6DD229A1CB98}" xr6:coauthVersionLast="47" xr6:coauthVersionMax="47" xr10:uidLastSave="{9A9152B9-00DC-4178-B409-4845AF11B8A3}"/>
  <bookViews>
    <workbookView xWindow="-108" yWindow="-108" windowWidth="23256" windowHeight="12456" activeTab="4" xr2:uid="{C4A4FE5C-6AC3-441F-B474-3353D91105F8}"/>
  </bookViews>
  <sheets>
    <sheet name="Buyers FS" sheetId="1" r:id="rId1"/>
    <sheet name="Target FS" sheetId="2" r:id="rId2"/>
    <sheet name="ASSUMPTIONS" sheetId="3" r:id="rId3"/>
    <sheet name="ACCRETION - DILUTION" sheetId="4" r:id="rId4"/>
    <sheet name="TRANSACTION B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9" i="1"/>
  <c r="B43" i="1"/>
  <c r="B46" i="1" s="1"/>
  <c r="C21" i="8" s="1"/>
  <c r="G13" i="8"/>
  <c r="G11" i="8"/>
  <c r="E20" i="8"/>
  <c r="D21" i="8"/>
  <c r="D20" i="8"/>
  <c r="F20" i="8" s="1"/>
  <c r="B46" i="2"/>
  <c r="C20" i="8"/>
  <c r="G20" i="8" s="1"/>
  <c r="E12" i="8"/>
  <c r="G12" i="8" s="1"/>
  <c r="E11" i="8"/>
  <c r="E13" i="8"/>
  <c r="F17" i="8"/>
  <c r="D6" i="8"/>
  <c r="D7" i="8"/>
  <c r="D8" i="8"/>
  <c r="D5" i="8"/>
  <c r="F5" i="8" s="1"/>
  <c r="C8" i="8"/>
  <c r="G8" i="8" s="1"/>
  <c r="C6" i="8"/>
  <c r="G6" i="8" s="1"/>
  <c r="C7" i="8"/>
  <c r="G7" i="8" s="1"/>
  <c r="C5" i="8"/>
  <c r="G5" i="8" s="1"/>
  <c r="D18" i="8"/>
  <c r="D16" i="8"/>
  <c r="D11" i="8"/>
  <c r="D12" i="8"/>
  <c r="D14" i="8"/>
  <c r="D10" i="8"/>
  <c r="C18" i="8"/>
  <c r="C16" i="8"/>
  <c r="G16" i="8" s="1"/>
  <c r="G18" i="8" s="1"/>
  <c r="C14" i="8"/>
  <c r="C11" i="8"/>
  <c r="C12" i="8"/>
  <c r="C10" i="8"/>
  <c r="G10" i="8" s="1"/>
  <c r="B43" i="2"/>
  <c r="H31" i="4"/>
  <c r="G31" i="4"/>
  <c r="G30" i="4"/>
  <c r="H30" i="4" s="1"/>
  <c r="H32" i="4" s="1"/>
  <c r="H26" i="4"/>
  <c r="G26" i="4"/>
  <c r="H25" i="4"/>
  <c r="G25" i="4"/>
  <c r="F25" i="4"/>
  <c r="H24" i="4"/>
  <c r="G24" i="4"/>
  <c r="H23" i="4"/>
  <c r="G23" i="4"/>
  <c r="H22" i="4"/>
  <c r="G22" i="4"/>
  <c r="H21" i="4"/>
  <c r="H20" i="4"/>
  <c r="H18" i="4"/>
  <c r="G18" i="4"/>
  <c r="H12" i="4"/>
  <c r="G12" i="4"/>
  <c r="H7" i="4"/>
  <c r="G7" i="4"/>
  <c r="H6" i="4"/>
  <c r="H8" i="4" s="1"/>
  <c r="H29" i="4" s="1"/>
  <c r="G6" i="4"/>
  <c r="I13" i="3"/>
  <c r="I7" i="3"/>
  <c r="D40" i="3"/>
  <c r="I40" i="3"/>
  <c r="D13" i="3"/>
  <c r="D10" i="3"/>
  <c r="D6" i="3"/>
  <c r="B39" i="2"/>
  <c r="B34" i="2"/>
  <c r="D25" i="2"/>
  <c r="C25" i="2"/>
  <c r="D21" i="2"/>
  <c r="C21" i="2"/>
  <c r="D15" i="2"/>
  <c r="C15" i="2"/>
  <c r="D9" i="2"/>
  <c r="C9" i="2"/>
  <c r="C20" i="1"/>
  <c r="D9" i="1"/>
  <c r="D15" i="1" s="1"/>
  <c r="D21" i="1" s="1"/>
  <c r="D25" i="1" s="1"/>
  <c r="C9" i="1"/>
  <c r="C15" i="1" s="1"/>
  <c r="C21" i="1" s="1"/>
  <c r="C25" i="1" s="1"/>
  <c r="G8" i="4" l="1"/>
  <c r="G29" i="4" s="1"/>
  <c r="H33" i="4"/>
  <c r="H36" i="4" s="1"/>
  <c r="G32" i="4"/>
  <c r="G33" i="4" s="1"/>
  <c r="G36" i="4" s="1"/>
  <c r="G14" i="8"/>
  <c r="G21" i="8"/>
</calcChain>
</file>

<file path=xl/sharedStrings.xml><?xml version="1.0" encoding="utf-8"?>
<sst xmlns="http://schemas.openxmlformats.org/spreadsheetml/2006/main" count="173" uniqueCount="112">
  <si>
    <t>INCOME</t>
  </si>
  <si>
    <t>STATEMENT</t>
  </si>
  <si>
    <t>REVENUE</t>
  </si>
  <si>
    <t>2020A</t>
  </si>
  <si>
    <t>2021P</t>
  </si>
  <si>
    <t>GROWTH</t>
  </si>
  <si>
    <t>COGS</t>
  </si>
  <si>
    <t>GROSS PROFIT</t>
  </si>
  <si>
    <t>MARGIN</t>
  </si>
  <si>
    <t>SG&amp;A</t>
  </si>
  <si>
    <t>SG&amp;A AS % OF SALES</t>
  </si>
  <si>
    <t>EBITDA</t>
  </si>
  <si>
    <t>DEPRECIATION</t>
  </si>
  <si>
    <t>DEP AS A % OF REVS</t>
  </si>
  <si>
    <t>INTEREST</t>
  </si>
  <si>
    <t>PRE TAX INCOME</t>
  </si>
  <si>
    <t>TAX</t>
  </si>
  <si>
    <t>NET INCOME</t>
  </si>
  <si>
    <t>AVG FD SHARES O/S</t>
  </si>
  <si>
    <t>EPS</t>
  </si>
  <si>
    <t>BALANCE SHEET</t>
  </si>
  <si>
    <t>CASH</t>
  </si>
  <si>
    <t>ACCOUNTS RECEIVABLE</t>
  </si>
  <si>
    <t>INVENTORY</t>
  </si>
  <si>
    <t>CURRENT ASSESTS</t>
  </si>
  <si>
    <t>NET PP&amp;E</t>
  </si>
  <si>
    <t>INTANGIABLE ASSESTS</t>
  </si>
  <si>
    <t>GOODWILL</t>
  </si>
  <si>
    <t>TOTAL ASSETS</t>
  </si>
  <si>
    <t>CURRENT LIABILITIES</t>
  </si>
  <si>
    <t>BANK DEBT</t>
  </si>
  <si>
    <t>TOTAL LIABILITIES</t>
  </si>
  <si>
    <t>SHAREHOLDERS EQUITY</t>
  </si>
  <si>
    <t>TOTAL LIABILITIES $SH EQUITY</t>
  </si>
  <si>
    <t>TRANSACTION ASSUMPTIONS</t>
  </si>
  <si>
    <t>TARGET 2020  EPS</t>
  </si>
  <si>
    <t>P/E RATIO ON 2020 EPS</t>
  </si>
  <si>
    <t>TARGET MARKET SHARE PRICE</t>
  </si>
  <si>
    <t>% PREMIUM</t>
  </si>
  <si>
    <t>PURCHASE PRICE</t>
  </si>
  <si>
    <t>TARGET SHARES OUTSTANDING</t>
  </si>
  <si>
    <t>PURCHASE PRICE OF TARGET EQUITY</t>
  </si>
  <si>
    <t>DEBT OF TARGET REDEEMED</t>
  </si>
  <si>
    <t>CASH OF TARGET PURCHASED</t>
  </si>
  <si>
    <t>ENTERPRISE VALUE</t>
  </si>
  <si>
    <t>BUYER PRICE OF SHARE ISSUANCE</t>
  </si>
  <si>
    <t>EQUITY PP SPLIT (STOCK)</t>
  </si>
  <si>
    <t>SHARES ISSUED</t>
  </si>
  <si>
    <t>FINANCING FEES AS % OF NEW DEBT</t>
  </si>
  <si>
    <t>AMORT PERIOD (YEARS)</t>
  </si>
  <si>
    <t>TOTAL AMORTIZABLE FINANCING FEES</t>
  </si>
  <si>
    <t>INTEREST RATE ON INCREMENTAL DEBT</t>
  </si>
  <si>
    <t>INTEREST RATE ON CASH BALANCES</t>
  </si>
  <si>
    <t>TAX RATE FOR INCREMENTAL EARNINGS</t>
  </si>
  <si>
    <t>PRE TAX SYNERGIES AS % OF SG&amp;A</t>
  </si>
  <si>
    <t>SOURCES&amp;UESES</t>
  </si>
  <si>
    <t>SOURCES</t>
  </si>
  <si>
    <t>USES</t>
  </si>
  <si>
    <t>NEW BUYER DEBT</t>
  </si>
  <si>
    <t>BUYER CASH TO FUND TRANSCATION</t>
  </si>
  <si>
    <t>BUYER EQUITY ISSUED</t>
  </si>
  <si>
    <t>TOTAL SOURCES</t>
  </si>
  <si>
    <t>PURCAHSE OF TARGET EQUITY</t>
  </si>
  <si>
    <t>TOTAL FEES</t>
  </si>
  <si>
    <t>TOTAL USES</t>
  </si>
  <si>
    <t>INTANGIABLE ASSEST AMORTIZATION</t>
  </si>
  <si>
    <t>PURCAHSE PRICE OF TARGET EQUITY</t>
  </si>
  <si>
    <t>LESS:TARGET BOOK VALUE</t>
  </si>
  <si>
    <t>EXCESS PURCHASE PRICE (X)</t>
  </si>
  <si>
    <t>ALLOCATION TO IDENTIFIABLE INTANGIABLE</t>
  </si>
  <si>
    <t>INCREMENTAL AMORTIZABLE INTANGIBLES(y)</t>
  </si>
  <si>
    <t>INCREMENTAL ANNUAL AMORTIZATION</t>
  </si>
  <si>
    <t>INCREMENTAL GOODWILL(X)-(Y)</t>
  </si>
  <si>
    <t>ANNUAL AMORTIZATION FINANCING FEES</t>
  </si>
  <si>
    <t xml:space="preserve">NON FINANCING FEES AS %OF ENTERPRISE </t>
  </si>
  <si>
    <t>AMOUNT OF SYNERGIES</t>
  </si>
  <si>
    <t>5 Years</t>
  </si>
  <si>
    <t>7 years</t>
  </si>
  <si>
    <r>
      <rPr>
        <b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:AMORTIZATION OF TARGET EXISTING INTANGIBLES IS INCLUDED IN TARGET INCOME</t>
    </r>
  </si>
  <si>
    <t>STANDALONE FINANCIAL STATISTICS</t>
  </si>
  <si>
    <t>BUYERS STANDALONE</t>
  </si>
  <si>
    <t>DILUTED SHARES OUTSTANDING</t>
  </si>
  <si>
    <t>TARGET STANDALONE</t>
  </si>
  <si>
    <t>NOTE: TARGET NET INCOME &gt;TOTAL ADJUSTMENTS TO NET INCOME &amp;100% DEBT -FUNDED TRANSCATION=ACCRETIVE</t>
  </si>
  <si>
    <t>TRANSACTION ADJUSTMENTS TO COMBINED NET INCOME</t>
  </si>
  <si>
    <t>PLUS:EBIT SYNERGIES</t>
  </si>
  <si>
    <t>LESS:ACQUISITION CAPITAL EXPENSE</t>
  </si>
  <si>
    <t>INTEREST EXPENSE ON INCREMENTAL DEBT(a)</t>
  </si>
  <si>
    <t>FORGONE INTEREST INCOME(b)</t>
  </si>
  <si>
    <t>AMORT. OF FINANCING FEES</t>
  </si>
  <si>
    <t>LESS:INCREMENTAL AMORT.OF TRANSACTION INTANGIBLES</t>
  </si>
  <si>
    <t>TOTAL PRE-TAX ADJUSTMENTS</t>
  </si>
  <si>
    <t>INCREMENTAL TAX EXPENSE/(BENEFIT)</t>
  </si>
  <si>
    <t>TOTAL ADJUSTMENTS TO NET INCOME</t>
  </si>
  <si>
    <t>PRO FORMA COMBINED RESULTS</t>
  </si>
  <si>
    <t>DILUTED SHARES OUTSTANDING (EXISTING)</t>
  </si>
  <si>
    <t>DILUTEDSHARES OUTSTANDING (SHARES ISSUED)</t>
  </si>
  <si>
    <t>TOTAL DILUTED SHARES OUTSTANDING</t>
  </si>
  <si>
    <t>ACCRETION/DILUTION</t>
  </si>
  <si>
    <t>EPS % ACCRETION /(DILUTION)</t>
  </si>
  <si>
    <t>EPS $ ACCRETION /(DILUTION)</t>
  </si>
  <si>
    <t>ADDITIONAL PRE TAX SYNERGIES TO BREAK EVEN</t>
  </si>
  <si>
    <t>BUYER</t>
  </si>
  <si>
    <t>TARGET</t>
  </si>
  <si>
    <t>ADJUSTMENTS</t>
  </si>
  <si>
    <t>PRO FORMA</t>
  </si>
  <si>
    <t>ACCOUNTS RECEIVABLES</t>
  </si>
  <si>
    <t>TOTAL ASSESTS</t>
  </si>
  <si>
    <t>$</t>
  </si>
  <si>
    <t>+</t>
  </si>
  <si>
    <t>-</t>
  </si>
  <si>
    <t>DEFERRED FINANCING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</si>
</sst>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2" borderId="0" xfId="0" applyFont="1" applyFill="1"/>
    <xf numFmtId="164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/>
    </xf>
    <xf numFmtId="2" fontId="1" fillId="2" borderId="0" xfId="0" applyNumberFormat="1" applyFont="1" applyFill="1"/>
    <xf numFmtId="1" fontId="1" fillId="2" borderId="0" xfId="0" applyNumberFormat="1" applyFont="1" applyFill="1"/>
    <xf numFmtId="1" fontId="3" fillId="2" borderId="0" xfId="0" applyNumberFormat="1" applyFont="1" applyFill="1"/>
    <xf numFmtId="2" fontId="3" fillId="2" borderId="0" xfId="0" applyNumberFormat="1" applyFont="1" applyFill="1"/>
    <xf numFmtId="0" fontId="1" fillId="3" borderId="0" xfId="0" applyFont="1" applyFill="1"/>
    <xf numFmtId="0" fontId="4" fillId="3" borderId="0" xfId="0" applyFont="1" applyFill="1"/>
    <xf numFmtId="0" fontId="3" fillId="2" borderId="0" xfId="0" applyFont="1" applyFill="1" applyAlignment="1">
      <alignment horizontal="right" vertical="center"/>
    </xf>
    <xf numFmtId="9" fontId="2" fillId="2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top"/>
    </xf>
    <xf numFmtId="0" fontId="0" fillId="3" borderId="0" xfId="0" applyFill="1"/>
    <xf numFmtId="0" fontId="1" fillId="4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F48D-3CA0-4764-B8C2-1ADB5DBA90CF}">
  <dimension ref="A3:D47"/>
  <sheetViews>
    <sheetView topLeftCell="A25" workbookViewId="0">
      <selection activeCell="G14" sqref="G14"/>
    </sheetView>
  </sheetViews>
  <sheetFormatPr defaultRowHeight="14.4" x14ac:dyDescent="0.3"/>
  <cols>
    <col min="1" max="1" width="39" customWidth="1"/>
    <col min="2" max="2" width="16.5546875" customWidth="1"/>
    <col min="3" max="3" width="15.88671875" customWidth="1"/>
    <col min="4" max="4" width="14.21875" customWidth="1"/>
  </cols>
  <sheetData>
    <row r="3" spans="1:4" x14ac:dyDescent="0.3">
      <c r="A3" s="39"/>
      <c r="B3" s="40" t="s">
        <v>0</v>
      </c>
      <c r="C3" s="41" t="s">
        <v>1</v>
      </c>
      <c r="D3" s="35"/>
    </row>
    <row r="4" spans="1:4" ht="15.6" x14ac:dyDescent="0.3">
      <c r="C4" s="29" t="s">
        <v>3</v>
      </c>
      <c r="D4" s="22" t="s">
        <v>4</v>
      </c>
    </row>
    <row r="5" spans="1:4" ht="15.6" x14ac:dyDescent="0.3">
      <c r="A5" s="1" t="s">
        <v>2</v>
      </c>
      <c r="B5" s="1"/>
      <c r="C5" s="18">
        <v>450000</v>
      </c>
      <c r="D5" s="18">
        <v>504000</v>
      </c>
    </row>
    <row r="6" spans="1:4" ht="15.6" x14ac:dyDescent="0.3">
      <c r="A6" s="3" t="s">
        <v>5</v>
      </c>
      <c r="B6" s="1"/>
      <c r="C6" s="18"/>
      <c r="D6" s="30">
        <v>0.12</v>
      </c>
    </row>
    <row r="7" spans="1:4" ht="15.6" x14ac:dyDescent="0.3">
      <c r="A7" s="1"/>
      <c r="B7" s="1"/>
      <c r="C7" s="18"/>
      <c r="D7" s="18"/>
    </row>
    <row r="8" spans="1:4" ht="15.6" x14ac:dyDescent="0.3">
      <c r="A8" s="1" t="s">
        <v>6</v>
      </c>
      <c r="B8" s="1"/>
      <c r="C8" s="18">
        <v>329824</v>
      </c>
      <c r="D8" s="18">
        <v>366399</v>
      </c>
    </row>
    <row r="9" spans="1:4" ht="15.6" x14ac:dyDescent="0.3">
      <c r="A9" s="4" t="s">
        <v>7</v>
      </c>
      <c r="B9" s="1"/>
      <c r="C9" s="16">
        <f>C5-C8</f>
        <v>120176</v>
      </c>
      <c r="D9" s="16">
        <f>D5-D8</f>
        <v>137601</v>
      </c>
    </row>
    <row r="10" spans="1:4" ht="15.6" x14ac:dyDescent="0.3">
      <c r="A10" s="3" t="s">
        <v>8</v>
      </c>
      <c r="B10" s="1"/>
      <c r="C10" s="30">
        <v>0.27</v>
      </c>
      <c r="D10" s="30">
        <v>0.27</v>
      </c>
    </row>
    <row r="11" spans="1:4" ht="15.6" x14ac:dyDescent="0.3">
      <c r="A11" s="1"/>
      <c r="B11" s="1"/>
      <c r="C11" s="18"/>
      <c r="D11" s="18"/>
    </row>
    <row r="12" spans="1:4" ht="15.6" x14ac:dyDescent="0.3">
      <c r="A12" s="1" t="s">
        <v>9</v>
      </c>
      <c r="B12" s="1"/>
      <c r="C12" s="18">
        <v>58500</v>
      </c>
      <c r="D12" s="18">
        <v>60480</v>
      </c>
    </row>
    <row r="13" spans="1:4" ht="15.6" x14ac:dyDescent="0.3">
      <c r="A13" s="3" t="s">
        <v>10</v>
      </c>
      <c r="B13" s="1"/>
      <c r="C13" s="30">
        <v>0.13</v>
      </c>
      <c r="D13" s="30">
        <v>0.12</v>
      </c>
    </row>
    <row r="14" spans="1:4" ht="15.6" x14ac:dyDescent="0.3">
      <c r="A14" s="1"/>
      <c r="B14" s="1"/>
      <c r="C14" s="18"/>
      <c r="D14" s="18"/>
    </row>
    <row r="15" spans="1:4" ht="15.6" x14ac:dyDescent="0.3">
      <c r="A15" s="4" t="s">
        <v>11</v>
      </c>
      <c r="B15" s="1"/>
      <c r="C15" s="16">
        <f>C9-C12</f>
        <v>61676</v>
      </c>
      <c r="D15" s="16">
        <f>D9-D12</f>
        <v>77121</v>
      </c>
    </row>
    <row r="16" spans="1:4" ht="15.6" x14ac:dyDescent="0.3">
      <c r="A16" s="1"/>
      <c r="B16" s="1"/>
      <c r="C16" s="18"/>
      <c r="D16" s="18"/>
    </row>
    <row r="17" spans="1:4" ht="15.6" x14ac:dyDescent="0.3">
      <c r="A17" s="1" t="s">
        <v>12</v>
      </c>
      <c r="B17" s="1"/>
      <c r="C17" s="18">
        <v>2386</v>
      </c>
      <c r="D17" s="18">
        <v>2568</v>
      </c>
    </row>
    <row r="18" spans="1:4" ht="15.6" x14ac:dyDescent="0.3">
      <c r="A18" s="3" t="s">
        <v>13</v>
      </c>
      <c r="B18" s="1"/>
      <c r="C18" s="30">
        <v>0.01</v>
      </c>
      <c r="D18" s="30">
        <v>0.01</v>
      </c>
    </row>
    <row r="19" spans="1:4" ht="15.6" x14ac:dyDescent="0.3">
      <c r="A19" s="1"/>
      <c r="B19" s="1"/>
      <c r="C19" s="18"/>
      <c r="D19" s="18"/>
    </row>
    <row r="20" spans="1:4" ht="15.6" x14ac:dyDescent="0.3">
      <c r="A20" s="1" t="s">
        <v>14</v>
      </c>
      <c r="B20" s="1"/>
      <c r="C20" s="18">
        <f>-D20</f>
        <v>0</v>
      </c>
      <c r="D20" s="18">
        <v>0</v>
      </c>
    </row>
    <row r="21" spans="1:4" ht="15.6" x14ac:dyDescent="0.3">
      <c r="A21" s="4" t="s">
        <v>15</v>
      </c>
      <c r="B21" s="1"/>
      <c r="C21" s="16">
        <f>C15-C17</f>
        <v>59290</v>
      </c>
      <c r="D21" s="16">
        <f>D15-D17</f>
        <v>74553</v>
      </c>
    </row>
    <row r="22" spans="1:4" ht="15.6" x14ac:dyDescent="0.3">
      <c r="A22" s="1"/>
      <c r="B22" s="1"/>
      <c r="C22" s="18"/>
      <c r="D22" s="18"/>
    </row>
    <row r="23" spans="1:4" ht="15.6" x14ac:dyDescent="0.3">
      <c r="A23" s="1" t="s">
        <v>16</v>
      </c>
      <c r="B23" s="1"/>
      <c r="C23" s="18">
        <v>14823</v>
      </c>
      <c r="D23" s="18">
        <v>18638</v>
      </c>
    </row>
    <row r="24" spans="1:4" ht="15.6" x14ac:dyDescent="0.3">
      <c r="A24" s="1"/>
      <c r="B24" s="1"/>
      <c r="C24" s="18"/>
      <c r="D24" s="18"/>
    </row>
    <row r="25" spans="1:4" ht="15.6" x14ac:dyDescent="0.3">
      <c r="A25" s="4" t="s">
        <v>17</v>
      </c>
      <c r="B25" s="4"/>
      <c r="C25" s="16">
        <f>C21-C23</f>
        <v>44467</v>
      </c>
      <c r="D25" s="16">
        <f>D21-D23</f>
        <v>55915</v>
      </c>
    </row>
    <row r="26" spans="1:4" ht="15.6" x14ac:dyDescent="0.3">
      <c r="A26" s="1" t="s">
        <v>18</v>
      </c>
      <c r="B26" s="1"/>
      <c r="C26" s="18">
        <v>10000</v>
      </c>
      <c r="D26" s="18">
        <v>10000</v>
      </c>
    </row>
    <row r="27" spans="1:4" ht="15.6" x14ac:dyDescent="0.3">
      <c r="A27" s="4" t="s">
        <v>19</v>
      </c>
      <c r="B27" s="1"/>
      <c r="C27" s="16">
        <v>4.45</v>
      </c>
      <c r="D27" s="26">
        <v>5.59</v>
      </c>
    </row>
    <row r="28" spans="1:4" ht="15.6" x14ac:dyDescent="0.3">
      <c r="C28" s="1"/>
      <c r="D28" s="1"/>
    </row>
    <row r="29" spans="1:4" ht="15.6" x14ac:dyDescent="0.3">
      <c r="A29" s="32" t="s">
        <v>20</v>
      </c>
      <c r="B29" s="37"/>
      <c r="C29" s="1"/>
      <c r="D29" s="1"/>
    </row>
    <row r="30" spans="1:4" ht="15.6" x14ac:dyDescent="0.3">
      <c r="A30" s="1"/>
      <c r="B30" s="22" t="s">
        <v>3</v>
      </c>
      <c r="C30" s="1"/>
      <c r="D30" s="1"/>
    </row>
    <row r="31" spans="1:4" ht="15.6" x14ac:dyDescent="0.3">
      <c r="A31" s="1" t="s">
        <v>21</v>
      </c>
      <c r="B31" s="18">
        <v>50000</v>
      </c>
      <c r="C31" s="1"/>
      <c r="D31" s="1"/>
    </row>
    <row r="32" spans="1:4" ht="15.6" x14ac:dyDescent="0.3">
      <c r="A32" s="1" t="s">
        <v>22</v>
      </c>
      <c r="B32" s="18">
        <v>120000</v>
      </c>
      <c r="C32" s="1"/>
      <c r="D32" s="1"/>
    </row>
    <row r="33" spans="1:4" ht="15.6" x14ac:dyDescent="0.3">
      <c r="A33" s="1" t="s">
        <v>23</v>
      </c>
      <c r="B33" s="18">
        <v>25000</v>
      </c>
      <c r="C33" s="1"/>
      <c r="D33" s="1"/>
    </row>
    <row r="34" spans="1:4" ht="15.6" x14ac:dyDescent="0.3">
      <c r="A34" s="4" t="s">
        <v>24</v>
      </c>
      <c r="B34" s="16">
        <f>B31+B32+B33</f>
        <v>195000</v>
      </c>
      <c r="C34" s="1"/>
      <c r="D34" s="1"/>
    </row>
    <row r="35" spans="1:4" ht="15.6" x14ac:dyDescent="0.3">
      <c r="A35" s="1"/>
      <c r="B35" s="18"/>
      <c r="C35" s="1"/>
      <c r="D35" s="1"/>
    </row>
    <row r="36" spans="1:4" ht="15.6" x14ac:dyDescent="0.3">
      <c r="A36" s="1" t="s">
        <v>25</v>
      </c>
      <c r="B36" s="18">
        <v>20000</v>
      </c>
      <c r="C36" s="1"/>
      <c r="D36" s="1"/>
    </row>
    <row r="37" spans="1:4" ht="15.6" x14ac:dyDescent="0.3">
      <c r="A37" s="1" t="s">
        <v>26</v>
      </c>
      <c r="B37" s="18">
        <v>0</v>
      </c>
      <c r="C37" s="1"/>
      <c r="D37" s="1"/>
    </row>
    <row r="38" spans="1:4" ht="15.6" x14ac:dyDescent="0.3">
      <c r="A38" s="1" t="s">
        <v>27</v>
      </c>
      <c r="B38" s="18">
        <v>0</v>
      </c>
      <c r="C38" s="1"/>
      <c r="D38" s="1"/>
    </row>
    <row r="39" spans="1:4" ht="15.6" x14ac:dyDescent="0.3">
      <c r="A39" s="4" t="s">
        <v>28</v>
      </c>
      <c r="B39" s="16">
        <f>B34+B36</f>
        <v>215000</v>
      </c>
      <c r="C39" s="1"/>
      <c r="D39" s="1"/>
    </row>
    <row r="40" spans="1:4" ht="15.6" x14ac:dyDescent="0.3">
      <c r="A40" s="1"/>
      <c r="B40" s="18"/>
      <c r="C40" s="1"/>
      <c r="D40" s="1"/>
    </row>
    <row r="41" spans="1:4" ht="15.6" x14ac:dyDescent="0.3">
      <c r="A41" s="1" t="s">
        <v>29</v>
      </c>
      <c r="B41" s="18">
        <v>130000</v>
      </c>
      <c r="C41" s="1"/>
      <c r="D41" s="1"/>
    </row>
    <row r="42" spans="1:4" ht="15.6" x14ac:dyDescent="0.3">
      <c r="A42" s="1" t="s">
        <v>30</v>
      </c>
      <c r="B42" s="18">
        <v>0</v>
      </c>
      <c r="C42" s="1"/>
      <c r="D42" s="1"/>
    </row>
    <row r="43" spans="1:4" ht="15.6" x14ac:dyDescent="0.3">
      <c r="A43" s="4" t="s">
        <v>31</v>
      </c>
      <c r="B43" s="16">
        <f>B41+B42</f>
        <v>130000</v>
      </c>
      <c r="C43" s="1"/>
      <c r="D43" s="1"/>
    </row>
    <row r="44" spans="1:4" ht="15.6" x14ac:dyDescent="0.3">
      <c r="A44" s="1"/>
      <c r="B44" s="18"/>
      <c r="C44" s="1"/>
      <c r="D44" s="1"/>
    </row>
    <row r="45" spans="1:4" ht="15.6" x14ac:dyDescent="0.3">
      <c r="A45" s="1" t="s">
        <v>32</v>
      </c>
      <c r="B45" s="18">
        <v>85000</v>
      </c>
      <c r="C45" s="1"/>
      <c r="D45" s="1"/>
    </row>
    <row r="46" spans="1:4" ht="15.6" x14ac:dyDescent="0.3">
      <c r="A46" s="4" t="s">
        <v>33</v>
      </c>
      <c r="B46" s="16">
        <f>B43+B45</f>
        <v>215000</v>
      </c>
      <c r="C46" s="1"/>
      <c r="D46" s="1"/>
    </row>
    <row r="47" spans="1:4" ht="15.6" x14ac:dyDescent="0.3">
      <c r="A47" s="1"/>
      <c r="B47" s="1"/>
      <c r="C47" s="1"/>
      <c r="D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CCFC-B73D-4C58-B54F-6BE6CB06DA4E}">
  <dimension ref="A3:D46"/>
  <sheetViews>
    <sheetView workbookViewId="0">
      <selection activeCell="L6" sqref="L6"/>
    </sheetView>
  </sheetViews>
  <sheetFormatPr defaultRowHeight="14.4" x14ac:dyDescent="0.3"/>
  <cols>
    <col min="1" max="1" width="39.77734375" customWidth="1"/>
    <col min="2" max="2" width="11.88671875" customWidth="1"/>
    <col min="3" max="3" width="14.109375" customWidth="1"/>
    <col min="4" max="4" width="13.77734375" customWidth="1"/>
  </cols>
  <sheetData>
    <row r="3" spans="1:4" ht="15.6" x14ac:dyDescent="0.3">
      <c r="A3" s="38"/>
      <c r="B3" s="32" t="s">
        <v>0</v>
      </c>
      <c r="C3" s="34" t="s">
        <v>1</v>
      </c>
      <c r="D3" s="27"/>
    </row>
    <row r="4" spans="1:4" ht="15.6" x14ac:dyDescent="0.3">
      <c r="A4" s="1"/>
      <c r="B4" s="1"/>
      <c r="C4" s="29" t="s">
        <v>3</v>
      </c>
      <c r="D4" s="22" t="s">
        <v>4</v>
      </c>
    </row>
    <row r="5" spans="1:4" ht="15.6" x14ac:dyDescent="0.3">
      <c r="A5" s="1" t="s">
        <v>2</v>
      </c>
      <c r="B5" s="1"/>
      <c r="C5" s="18">
        <v>132000</v>
      </c>
      <c r="D5" s="18">
        <v>157000</v>
      </c>
    </row>
    <row r="6" spans="1:4" ht="15.6" x14ac:dyDescent="0.3">
      <c r="A6" s="3" t="s">
        <v>5</v>
      </c>
      <c r="B6" s="1"/>
      <c r="C6" s="18"/>
      <c r="D6" s="30">
        <v>0.19</v>
      </c>
    </row>
    <row r="7" spans="1:4" ht="15.6" x14ac:dyDescent="0.3">
      <c r="A7" s="1"/>
      <c r="B7" s="1"/>
      <c r="C7" s="18"/>
      <c r="D7" s="18"/>
    </row>
    <row r="8" spans="1:4" ht="15.6" x14ac:dyDescent="0.3">
      <c r="A8" s="1" t="s">
        <v>6</v>
      </c>
      <c r="B8" s="1"/>
      <c r="C8" s="18">
        <v>100480</v>
      </c>
      <c r="D8" s="18">
        <v>118980</v>
      </c>
    </row>
    <row r="9" spans="1:4" ht="15.6" x14ac:dyDescent="0.3">
      <c r="A9" s="4" t="s">
        <v>7</v>
      </c>
      <c r="B9" s="1"/>
      <c r="C9" s="18">
        <f>C5-C8</f>
        <v>31520</v>
      </c>
      <c r="D9" s="18">
        <f>D5-D8</f>
        <v>38020</v>
      </c>
    </row>
    <row r="10" spans="1:4" ht="15.6" x14ac:dyDescent="0.3">
      <c r="A10" s="3" t="s">
        <v>8</v>
      </c>
      <c r="B10" s="1"/>
      <c r="C10" s="30">
        <v>0.24</v>
      </c>
      <c r="D10" s="30">
        <v>0.24</v>
      </c>
    </row>
    <row r="11" spans="1:4" ht="15.6" x14ac:dyDescent="0.3">
      <c r="A11" s="1"/>
      <c r="B11" s="1"/>
      <c r="C11" s="18"/>
      <c r="D11" s="18"/>
    </row>
    <row r="12" spans="1:4" ht="15.6" x14ac:dyDescent="0.3">
      <c r="A12" s="1" t="s">
        <v>9</v>
      </c>
      <c r="B12" s="1"/>
      <c r="C12" s="18">
        <v>22100</v>
      </c>
      <c r="D12" s="18">
        <v>25700</v>
      </c>
    </row>
    <row r="13" spans="1:4" ht="15.6" x14ac:dyDescent="0.3">
      <c r="A13" s="3" t="s">
        <v>10</v>
      </c>
      <c r="B13" s="1"/>
      <c r="C13" s="30">
        <v>0.17</v>
      </c>
      <c r="D13" s="30">
        <v>0.16</v>
      </c>
    </row>
    <row r="14" spans="1:4" ht="15.6" x14ac:dyDescent="0.3">
      <c r="A14" s="1"/>
      <c r="B14" s="1"/>
      <c r="C14" s="18"/>
      <c r="D14" s="18"/>
    </row>
    <row r="15" spans="1:4" ht="15.6" x14ac:dyDescent="0.3">
      <c r="A15" s="4" t="s">
        <v>11</v>
      </c>
      <c r="B15" s="1"/>
      <c r="C15" s="18">
        <f>C9-C12</f>
        <v>9420</v>
      </c>
      <c r="D15" s="18">
        <f>D9-D12</f>
        <v>12320</v>
      </c>
    </row>
    <row r="16" spans="1:4" ht="15.6" x14ac:dyDescent="0.3">
      <c r="A16" s="1"/>
      <c r="B16" s="1"/>
      <c r="C16" s="18"/>
      <c r="D16" s="18"/>
    </row>
    <row r="17" spans="1:4" ht="15.6" x14ac:dyDescent="0.3">
      <c r="A17" s="1" t="s">
        <v>12</v>
      </c>
      <c r="B17" s="1"/>
      <c r="C17" s="18">
        <v>700</v>
      </c>
      <c r="D17" s="18">
        <v>800</v>
      </c>
    </row>
    <row r="18" spans="1:4" ht="15.6" x14ac:dyDescent="0.3">
      <c r="A18" s="3" t="s">
        <v>13</v>
      </c>
      <c r="B18" s="1"/>
      <c r="C18" s="30">
        <v>0.01</v>
      </c>
      <c r="D18" s="30">
        <v>0.01</v>
      </c>
    </row>
    <row r="19" spans="1:4" ht="15.6" x14ac:dyDescent="0.3">
      <c r="A19" s="1"/>
      <c r="B19" s="1"/>
      <c r="C19" s="18"/>
      <c r="D19" s="18"/>
    </row>
    <row r="20" spans="1:4" ht="15.6" x14ac:dyDescent="0.3">
      <c r="A20" s="1" t="s">
        <v>14</v>
      </c>
      <c r="B20" s="1"/>
      <c r="C20" s="18">
        <v>0</v>
      </c>
      <c r="D20" s="18">
        <v>0</v>
      </c>
    </row>
    <row r="21" spans="1:4" ht="15.6" x14ac:dyDescent="0.3">
      <c r="A21" s="4" t="s">
        <v>15</v>
      </c>
      <c r="B21" s="1"/>
      <c r="C21" s="18">
        <f>C15-C17-C20</f>
        <v>8720</v>
      </c>
      <c r="D21" s="18">
        <f>D15-D17-D20</f>
        <v>11520</v>
      </c>
    </row>
    <row r="22" spans="1:4" ht="15.6" x14ac:dyDescent="0.3">
      <c r="A22" s="1"/>
      <c r="B22" s="1"/>
      <c r="C22" s="18"/>
      <c r="D22" s="18"/>
    </row>
    <row r="23" spans="1:4" ht="15.6" x14ac:dyDescent="0.3">
      <c r="A23" s="1" t="s">
        <v>16</v>
      </c>
      <c r="B23" s="1"/>
      <c r="C23" s="18">
        <v>2180</v>
      </c>
      <c r="D23" s="18">
        <v>2880</v>
      </c>
    </row>
    <row r="24" spans="1:4" ht="15.6" x14ac:dyDescent="0.3">
      <c r="A24" s="1"/>
      <c r="B24" s="1"/>
      <c r="C24" s="18"/>
      <c r="D24" s="18"/>
    </row>
    <row r="25" spans="1:4" ht="15.6" x14ac:dyDescent="0.3">
      <c r="A25" s="4" t="s">
        <v>17</v>
      </c>
      <c r="B25" s="1"/>
      <c r="C25" s="18">
        <f>C21-C23</f>
        <v>6540</v>
      </c>
      <c r="D25" s="18">
        <f>D21-D23</f>
        <v>8640</v>
      </c>
    </row>
    <row r="26" spans="1:4" ht="15.6" x14ac:dyDescent="0.3">
      <c r="A26" s="1" t="s">
        <v>18</v>
      </c>
      <c r="B26" s="1"/>
      <c r="C26" s="18">
        <v>1000</v>
      </c>
      <c r="D26" s="18">
        <v>1000</v>
      </c>
    </row>
    <row r="27" spans="1:4" ht="15.6" x14ac:dyDescent="0.3">
      <c r="A27" s="4" t="s">
        <v>19</v>
      </c>
      <c r="B27" s="1"/>
      <c r="C27" s="18">
        <v>6.54</v>
      </c>
      <c r="D27" s="18">
        <v>8.64</v>
      </c>
    </row>
    <row r="28" spans="1:4" ht="15.6" x14ac:dyDescent="0.3">
      <c r="A28" s="1"/>
      <c r="B28" s="1"/>
      <c r="C28" s="1"/>
      <c r="D28" s="1"/>
    </row>
    <row r="29" spans="1:4" ht="15.6" x14ac:dyDescent="0.3">
      <c r="A29" s="32" t="s">
        <v>20</v>
      </c>
      <c r="B29" s="37"/>
      <c r="C29" s="1"/>
      <c r="D29" s="1"/>
    </row>
    <row r="30" spans="1:4" ht="15.6" x14ac:dyDescent="0.3">
      <c r="A30" s="1"/>
      <c r="B30" s="5" t="s">
        <v>3</v>
      </c>
      <c r="C30" s="1"/>
      <c r="D30" s="1"/>
    </row>
    <row r="31" spans="1:4" ht="15.6" x14ac:dyDescent="0.3">
      <c r="A31" s="1" t="s">
        <v>21</v>
      </c>
      <c r="B31" s="1">
        <v>5000</v>
      </c>
      <c r="C31" s="1"/>
      <c r="D31" s="1"/>
    </row>
    <row r="32" spans="1:4" ht="15.6" x14ac:dyDescent="0.3">
      <c r="A32" s="1" t="s">
        <v>22</v>
      </c>
      <c r="B32" s="1">
        <v>25000</v>
      </c>
      <c r="C32" s="1"/>
      <c r="D32" s="1"/>
    </row>
    <row r="33" spans="1:4" ht="15.6" x14ac:dyDescent="0.3">
      <c r="A33" s="1" t="s">
        <v>23</v>
      </c>
      <c r="B33" s="1">
        <v>6000</v>
      </c>
      <c r="C33" s="1"/>
      <c r="D33" s="1"/>
    </row>
    <row r="34" spans="1:4" ht="15.6" x14ac:dyDescent="0.3">
      <c r="A34" s="4" t="s">
        <v>24</v>
      </c>
      <c r="B34" s="4">
        <f>B31+B32+B33</f>
        <v>36000</v>
      </c>
      <c r="C34" s="1"/>
      <c r="D34" s="1"/>
    </row>
    <row r="35" spans="1:4" ht="15.6" x14ac:dyDescent="0.3">
      <c r="A35" s="1"/>
      <c r="B35" s="1"/>
      <c r="C35" s="1"/>
      <c r="D35" s="1"/>
    </row>
    <row r="36" spans="1:4" ht="15.6" x14ac:dyDescent="0.3">
      <c r="A36" s="1" t="s">
        <v>25</v>
      </c>
      <c r="B36" s="1">
        <v>7000</v>
      </c>
      <c r="C36" s="1"/>
      <c r="D36" s="1"/>
    </row>
    <row r="37" spans="1:4" ht="15.6" x14ac:dyDescent="0.3">
      <c r="A37" s="1" t="s">
        <v>26</v>
      </c>
      <c r="B37" s="1">
        <v>0</v>
      </c>
      <c r="C37" s="1"/>
      <c r="D37" s="1"/>
    </row>
    <row r="38" spans="1:4" ht="15.6" x14ac:dyDescent="0.3">
      <c r="A38" s="1" t="s">
        <v>27</v>
      </c>
      <c r="B38" s="1">
        <v>0</v>
      </c>
      <c r="C38" s="1"/>
      <c r="D38" s="1"/>
    </row>
    <row r="39" spans="1:4" ht="15.6" x14ac:dyDescent="0.3">
      <c r="A39" s="4" t="s">
        <v>28</v>
      </c>
      <c r="B39" s="4">
        <f>B36+B34</f>
        <v>43000</v>
      </c>
      <c r="C39" s="1"/>
      <c r="D39" s="1"/>
    </row>
    <row r="40" spans="1:4" ht="15.6" x14ac:dyDescent="0.3">
      <c r="A40" s="1"/>
      <c r="B40" s="1"/>
      <c r="C40" s="1"/>
      <c r="D40" s="1"/>
    </row>
    <row r="41" spans="1:4" ht="15.6" x14ac:dyDescent="0.3">
      <c r="A41" s="1" t="s">
        <v>29</v>
      </c>
      <c r="B41" s="1">
        <v>13000</v>
      </c>
      <c r="C41" s="1"/>
      <c r="D41" s="1"/>
    </row>
    <row r="42" spans="1:4" ht="15.6" x14ac:dyDescent="0.3">
      <c r="A42" s="1" t="s">
        <v>30</v>
      </c>
      <c r="B42" s="1">
        <v>0</v>
      </c>
      <c r="C42" s="1"/>
      <c r="D42" s="1"/>
    </row>
    <row r="43" spans="1:4" ht="15.6" x14ac:dyDescent="0.3">
      <c r="A43" s="4" t="s">
        <v>31</v>
      </c>
      <c r="B43" s="4">
        <f>B41</f>
        <v>13000</v>
      </c>
      <c r="C43" s="1"/>
      <c r="D43" s="1"/>
    </row>
    <row r="44" spans="1:4" ht="15.6" x14ac:dyDescent="0.3">
      <c r="A44" s="1"/>
      <c r="B44" s="1"/>
      <c r="C44" s="1"/>
      <c r="D44" s="1"/>
    </row>
    <row r="45" spans="1:4" ht="15.6" x14ac:dyDescent="0.3">
      <c r="A45" s="1" t="s">
        <v>32</v>
      </c>
      <c r="B45" s="1">
        <v>30000</v>
      </c>
      <c r="C45" s="1"/>
      <c r="D45" s="1"/>
    </row>
    <row r="46" spans="1:4" ht="15.6" x14ac:dyDescent="0.3">
      <c r="A46" s="4" t="s">
        <v>33</v>
      </c>
      <c r="B46" s="4">
        <f>B43+B45</f>
        <v>43000</v>
      </c>
      <c r="C46" s="1"/>
      <c r="D4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9D83-E828-4708-8756-5832CB988501}">
  <dimension ref="A3:N40"/>
  <sheetViews>
    <sheetView workbookViewId="0">
      <selection activeCell="J5" sqref="J5"/>
    </sheetView>
  </sheetViews>
  <sheetFormatPr defaultRowHeight="14.4" x14ac:dyDescent="0.3"/>
  <cols>
    <col min="1" max="1" width="46.6640625" customWidth="1"/>
    <col min="4" max="4" width="15.109375" customWidth="1"/>
    <col min="5" max="5" width="45.109375" customWidth="1"/>
  </cols>
  <sheetData>
    <row r="3" spans="1:14" ht="15.6" x14ac:dyDescent="0.3">
      <c r="A3" s="27"/>
      <c r="B3" s="27"/>
      <c r="C3" s="27"/>
      <c r="D3" s="31" t="s">
        <v>34</v>
      </c>
      <c r="E3" s="31"/>
      <c r="F3" s="28"/>
      <c r="G3" s="27"/>
      <c r="H3" s="27"/>
      <c r="I3" s="27"/>
      <c r="J3" s="1"/>
      <c r="K3" s="1"/>
    </row>
    <row r="4" spans="1:14" ht="15.6" x14ac:dyDescent="0.3">
      <c r="A4" s="1" t="s">
        <v>35</v>
      </c>
      <c r="B4" s="1"/>
      <c r="C4" s="1"/>
      <c r="D4" s="11">
        <v>6.54</v>
      </c>
      <c r="E4" s="4" t="s">
        <v>65</v>
      </c>
      <c r="F4" s="4"/>
      <c r="G4" s="4"/>
      <c r="H4" s="4"/>
      <c r="I4" s="18"/>
      <c r="J4" s="1"/>
      <c r="K4" s="1"/>
      <c r="L4" s="1"/>
      <c r="M4" s="1"/>
      <c r="N4" s="1"/>
    </row>
    <row r="5" spans="1:14" ht="15.6" x14ac:dyDescent="0.3">
      <c r="A5" s="1" t="s">
        <v>36</v>
      </c>
      <c r="B5" s="1"/>
      <c r="C5" s="1"/>
      <c r="D5" s="11">
        <v>15</v>
      </c>
      <c r="E5" s="1" t="s">
        <v>66</v>
      </c>
      <c r="F5" s="1"/>
      <c r="G5" s="1"/>
      <c r="H5" s="1"/>
      <c r="I5" s="19">
        <v>127530</v>
      </c>
      <c r="J5" s="1"/>
      <c r="K5" s="1"/>
      <c r="L5" s="1"/>
      <c r="M5" s="1"/>
      <c r="N5" s="1"/>
    </row>
    <row r="6" spans="1:14" ht="15.6" x14ac:dyDescent="0.3">
      <c r="A6" s="1" t="s">
        <v>37</v>
      </c>
      <c r="B6" s="1"/>
      <c r="C6" s="1"/>
      <c r="D6" s="12">
        <f>D4*D5</f>
        <v>98.1</v>
      </c>
      <c r="E6" s="1" t="s">
        <v>67</v>
      </c>
      <c r="F6" s="1"/>
      <c r="G6" s="1"/>
      <c r="H6" s="1"/>
      <c r="I6" s="19">
        <v>30000</v>
      </c>
      <c r="J6" s="1"/>
      <c r="K6" s="1"/>
      <c r="L6" s="1"/>
      <c r="M6" s="1"/>
      <c r="N6" s="1"/>
    </row>
    <row r="7" spans="1:14" ht="15.6" x14ac:dyDescent="0.3">
      <c r="A7" s="1" t="s">
        <v>38</v>
      </c>
      <c r="B7" s="1"/>
      <c r="C7" s="1"/>
      <c r="D7" s="12">
        <v>30</v>
      </c>
      <c r="E7" s="4" t="s">
        <v>68</v>
      </c>
      <c r="F7" s="4"/>
      <c r="G7" s="4"/>
      <c r="H7" s="1"/>
      <c r="I7" s="20">
        <f>I5-I6</f>
        <v>97530</v>
      </c>
      <c r="J7" s="1"/>
      <c r="K7" s="1"/>
      <c r="L7" s="1"/>
      <c r="M7" s="1"/>
      <c r="N7" s="1"/>
    </row>
    <row r="8" spans="1:14" ht="15.6" x14ac:dyDescent="0.3">
      <c r="A8" s="1" t="s">
        <v>39</v>
      </c>
      <c r="B8" s="1"/>
      <c r="C8" s="1"/>
      <c r="D8" s="11">
        <v>127.53</v>
      </c>
      <c r="E8" s="1" t="s">
        <v>69</v>
      </c>
      <c r="F8" s="1"/>
      <c r="G8" s="1"/>
      <c r="H8" s="1"/>
      <c r="I8" s="21">
        <v>30</v>
      </c>
      <c r="J8" s="1"/>
      <c r="K8" s="1"/>
      <c r="L8" s="1"/>
      <c r="M8" s="1"/>
      <c r="N8" s="1"/>
    </row>
    <row r="9" spans="1:14" ht="15.6" x14ac:dyDescent="0.3">
      <c r="A9" s="1" t="s">
        <v>40</v>
      </c>
      <c r="B9" s="1"/>
      <c r="C9" s="1"/>
      <c r="D9" s="11">
        <v>1000</v>
      </c>
      <c r="E9" s="1" t="s">
        <v>70</v>
      </c>
      <c r="F9" s="1"/>
      <c r="G9" s="1"/>
      <c r="H9" s="1"/>
      <c r="I9" s="19">
        <v>29259</v>
      </c>
      <c r="J9" s="1"/>
      <c r="K9" s="1"/>
      <c r="L9" s="1"/>
      <c r="M9" s="1"/>
      <c r="N9" s="1"/>
    </row>
    <row r="10" spans="1:14" ht="15.6" x14ac:dyDescent="0.3">
      <c r="A10" s="4" t="s">
        <v>41</v>
      </c>
      <c r="B10" s="4"/>
      <c r="C10" s="4"/>
      <c r="D10" s="13">
        <f>D8*D9</f>
        <v>127530</v>
      </c>
      <c r="E10" s="1" t="s">
        <v>49</v>
      </c>
      <c r="F10" s="1"/>
      <c r="G10" s="1"/>
      <c r="H10" s="1"/>
      <c r="I10" s="19" t="s">
        <v>77</v>
      </c>
      <c r="J10" s="1"/>
      <c r="K10" s="1"/>
      <c r="L10" s="1"/>
      <c r="M10" s="1"/>
      <c r="N10" s="1"/>
    </row>
    <row r="11" spans="1:14" ht="15.6" x14ac:dyDescent="0.3">
      <c r="A11" s="1" t="s">
        <v>42</v>
      </c>
      <c r="B11" s="1"/>
      <c r="C11" s="1"/>
      <c r="D11" s="11">
        <v>0</v>
      </c>
      <c r="E11" s="4" t="s">
        <v>71</v>
      </c>
      <c r="F11" s="1"/>
      <c r="G11" s="1"/>
      <c r="H11" s="1"/>
      <c r="I11" s="20">
        <v>4180</v>
      </c>
      <c r="J11" s="1"/>
      <c r="K11" s="1"/>
      <c r="L11" s="1"/>
      <c r="M11" s="1"/>
      <c r="N11" s="1"/>
    </row>
    <row r="12" spans="1:14" ht="15.6" x14ac:dyDescent="0.3">
      <c r="A12" s="1" t="s">
        <v>43</v>
      </c>
      <c r="B12" s="1"/>
      <c r="C12" s="1"/>
      <c r="D12" s="11">
        <v>5000</v>
      </c>
      <c r="E12" s="1"/>
      <c r="F12" s="1"/>
      <c r="G12" s="1"/>
      <c r="H12" s="1"/>
      <c r="I12" s="19"/>
      <c r="J12" s="1"/>
      <c r="K12" s="1"/>
      <c r="L12" s="1"/>
      <c r="M12" s="1"/>
      <c r="N12" s="1"/>
    </row>
    <row r="13" spans="1:14" ht="15.6" x14ac:dyDescent="0.3">
      <c r="A13" s="4" t="s">
        <v>44</v>
      </c>
      <c r="B13" s="4"/>
      <c r="C13" s="1"/>
      <c r="D13" s="13">
        <f>D10+D11-D12</f>
        <v>122530</v>
      </c>
      <c r="E13" s="4" t="s">
        <v>72</v>
      </c>
      <c r="F13" s="1"/>
      <c r="G13" s="1"/>
      <c r="H13" s="1"/>
      <c r="I13" s="20">
        <f>I7-I9</f>
        <v>68271</v>
      </c>
      <c r="J13" s="1"/>
      <c r="K13" s="1"/>
      <c r="L13" s="1"/>
      <c r="M13" s="1"/>
      <c r="N13" s="1"/>
    </row>
    <row r="14" spans="1:14" ht="15.6" x14ac:dyDescent="0.3">
      <c r="A14" s="1"/>
      <c r="B14" s="1"/>
      <c r="C14" s="1"/>
      <c r="D14" s="11"/>
      <c r="E14" s="1"/>
      <c r="F14" s="1"/>
      <c r="G14" s="1"/>
      <c r="H14" s="1"/>
      <c r="I14" s="19"/>
      <c r="J14" s="1"/>
      <c r="K14" s="1"/>
      <c r="L14" s="1"/>
      <c r="M14" s="1"/>
      <c r="N14" s="1"/>
    </row>
    <row r="15" spans="1:14" ht="15.6" x14ac:dyDescent="0.3">
      <c r="A15" s="1" t="s">
        <v>45</v>
      </c>
      <c r="B15" s="1"/>
      <c r="C15" s="1"/>
      <c r="D15" s="12">
        <v>50</v>
      </c>
      <c r="E15" s="1"/>
      <c r="F15" s="1"/>
      <c r="G15" s="1"/>
      <c r="H15" s="1"/>
      <c r="I15" s="19"/>
      <c r="J15" s="1"/>
      <c r="K15" s="1"/>
      <c r="L15" s="1"/>
      <c r="M15" s="1"/>
      <c r="N15" s="1"/>
    </row>
    <row r="16" spans="1:14" ht="15.6" x14ac:dyDescent="0.3">
      <c r="A16" s="1" t="s">
        <v>46</v>
      </c>
      <c r="B16" s="1"/>
      <c r="C16" s="1"/>
      <c r="D16" s="14">
        <v>30</v>
      </c>
      <c r="E16" s="1"/>
      <c r="F16" s="1"/>
      <c r="G16" s="1"/>
      <c r="H16" s="1"/>
      <c r="I16" s="19"/>
      <c r="J16" s="1"/>
      <c r="K16" s="1"/>
      <c r="L16" s="1"/>
      <c r="M16" s="1"/>
      <c r="N16" s="1"/>
    </row>
    <row r="17" spans="1:14" ht="15.6" x14ac:dyDescent="0.3">
      <c r="A17" s="4" t="s">
        <v>47</v>
      </c>
      <c r="B17" s="4"/>
      <c r="C17" s="1"/>
      <c r="D17" s="11">
        <v>765.18</v>
      </c>
      <c r="E17" s="1" t="s">
        <v>78</v>
      </c>
      <c r="F17" s="1"/>
      <c r="G17" s="1"/>
      <c r="H17" s="1"/>
      <c r="I17" s="19"/>
      <c r="J17" s="1"/>
      <c r="K17" s="1"/>
      <c r="L17" s="1"/>
      <c r="M17" s="1"/>
      <c r="N17" s="1"/>
    </row>
    <row r="18" spans="1:14" ht="15.6" x14ac:dyDescent="0.3">
      <c r="A18" s="1" t="s">
        <v>48</v>
      </c>
      <c r="B18" s="1"/>
      <c r="C18" s="1"/>
      <c r="D18" s="15">
        <v>3</v>
      </c>
      <c r="E18" s="1"/>
      <c r="F18" s="1"/>
      <c r="G18" s="1"/>
      <c r="H18" s="1"/>
      <c r="I18" s="19"/>
      <c r="J18" s="1"/>
      <c r="K18" s="1"/>
      <c r="L18" s="1"/>
      <c r="M18" s="1"/>
      <c r="N18" s="1"/>
    </row>
    <row r="19" spans="1:14" ht="15.6" x14ac:dyDescent="0.3">
      <c r="A19" s="1" t="s">
        <v>49</v>
      </c>
      <c r="B19" s="1"/>
      <c r="C19" s="1"/>
      <c r="D19" s="11" t="s">
        <v>76</v>
      </c>
      <c r="E19" s="1"/>
      <c r="F19" s="1"/>
      <c r="G19" s="1"/>
      <c r="H19" s="1"/>
      <c r="I19" s="19"/>
      <c r="J19" s="1"/>
      <c r="K19" s="1"/>
      <c r="L19" s="1"/>
      <c r="M19" s="1"/>
      <c r="N19" s="1"/>
    </row>
    <row r="20" spans="1:14" ht="15.6" x14ac:dyDescent="0.3">
      <c r="A20" s="1" t="s">
        <v>50</v>
      </c>
      <c r="B20" s="4"/>
      <c r="C20" s="4"/>
      <c r="D20" s="11">
        <v>2668</v>
      </c>
      <c r="E20" s="1"/>
      <c r="F20" s="1"/>
      <c r="G20" s="1"/>
      <c r="H20" s="1"/>
      <c r="I20" s="19"/>
      <c r="J20" s="1"/>
      <c r="K20" s="1"/>
      <c r="L20" s="1"/>
      <c r="M20" s="1"/>
      <c r="N20" s="1"/>
    </row>
    <row r="21" spans="1:14" ht="15.6" x14ac:dyDescent="0.3">
      <c r="A21" s="4" t="s">
        <v>73</v>
      </c>
      <c r="B21" s="4"/>
      <c r="C21" s="4"/>
      <c r="D21" s="13">
        <v>534</v>
      </c>
      <c r="E21" s="1"/>
      <c r="F21" s="1"/>
      <c r="G21" s="1"/>
      <c r="H21" s="1"/>
      <c r="I21" s="19"/>
      <c r="J21" s="1"/>
      <c r="K21" s="1"/>
      <c r="L21" s="1"/>
      <c r="M21" s="1"/>
      <c r="N21" s="1"/>
    </row>
    <row r="22" spans="1:14" ht="15.6" x14ac:dyDescent="0.3">
      <c r="A22" s="1"/>
      <c r="B22" s="1"/>
      <c r="C22" s="1"/>
      <c r="D22" s="11"/>
      <c r="E22" s="1"/>
      <c r="F22" s="1"/>
      <c r="G22" s="1"/>
      <c r="H22" s="1"/>
      <c r="I22" s="19"/>
      <c r="J22" s="1"/>
      <c r="K22" s="1"/>
      <c r="L22" s="1"/>
      <c r="M22" s="1"/>
      <c r="N22" s="1"/>
    </row>
    <row r="23" spans="1:14" ht="15.6" x14ac:dyDescent="0.3">
      <c r="A23" s="1" t="s">
        <v>51</v>
      </c>
      <c r="B23" s="1"/>
      <c r="C23" s="1"/>
      <c r="D23" s="15">
        <v>4</v>
      </c>
      <c r="E23" s="1" t="s">
        <v>74</v>
      </c>
      <c r="F23" s="1"/>
      <c r="G23" s="1"/>
      <c r="H23" s="1"/>
      <c r="I23" s="19"/>
      <c r="J23" s="1"/>
      <c r="K23" s="1"/>
      <c r="L23" s="1"/>
      <c r="M23" s="1"/>
      <c r="N23" s="1"/>
    </row>
    <row r="24" spans="1:14" ht="15.6" x14ac:dyDescent="0.3">
      <c r="A24" s="1" t="s">
        <v>52</v>
      </c>
      <c r="B24" s="1"/>
      <c r="C24" s="1"/>
      <c r="D24" s="11">
        <v>0.5</v>
      </c>
      <c r="E24" s="1" t="s">
        <v>44</v>
      </c>
      <c r="F24" s="1"/>
      <c r="G24" s="1"/>
      <c r="H24" s="1"/>
      <c r="I24" s="19">
        <v>1.63</v>
      </c>
      <c r="J24" s="1"/>
      <c r="K24" s="1"/>
      <c r="L24" s="1"/>
      <c r="M24" s="1"/>
      <c r="N24" s="1"/>
    </row>
    <row r="25" spans="1:14" ht="15.6" x14ac:dyDescent="0.3">
      <c r="A25" s="1"/>
      <c r="B25" s="1"/>
      <c r="C25" s="1"/>
      <c r="D25" s="11"/>
      <c r="E25" s="1"/>
      <c r="F25" s="1"/>
      <c r="G25" s="1"/>
      <c r="H25" s="1"/>
      <c r="I25" s="19"/>
      <c r="J25" s="1"/>
      <c r="K25" s="1"/>
      <c r="L25" s="1"/>
      <c r="M25" s="1"/>
      <c r="N25" s="1"/>
    </row>
    <row r="26" spans="1:14" ht="15.6" x14ac:dyDescent="0.3">
      <c r="A26" s="1" t="s">
        <v>53</v>
      </c>
      <c r="B26" s="1"/>
      <c r="C26" s="1"/>
      <c r="D26" s="15">
        <v>25</v>
      </c>
      <c r="E26" s="1"/>
      <c r="F26" s="1"/>
      <c r="G26" s="1"/>
      <c r="H26" s="1"/>
      <c r="I26" s="18"/>
      <c r="J26" s="1"/>
      <c r="K26" s="1"/>
      <c r="L26" s="1"/>
      <c r="M26" s="1"/>
      <c r="N26" s="1"/>
    </row>
    <row r="27" spans="1:14" ht="15.6" x14ac:dyDescent="0.3">
      <c r="A27" s="1"/>
      <c r="B27" s="1"/>
      <c r="C27" s="1"/>
      <c r="D27" s="11"/>
      <c r="E27" s="1"/>
      <c r="F27" s="1"/>
      <c r="G27" s="1"/>
      <c r="H27" s="1"/>
      <c r="I27" s="18"/>
      <c r="J27" s="1"/>
      <c r="K27" s="1"/>
      <c r="L27" s="1"/>
      <c r="M27" s="1"/>
      <c r="N27" s="1"/>
    </row>
    <row r="28" spans="1:14" ht="15.6" x14ac:dyDescent="0.3">
      <c r="A28" s="4" t="s">
        <v>54</v>
      </c>
      <c r="B28" s="4"/>
      <c r="C28" s="4"/>
      <c r="D28" s="16"/>
      <c r="E28" s="4" t="s">
        <v>75</v>
      </c>
      <c r="F28" s="4"/>
      <c r="G28" s="4"/>
      <c r="H28" s="1"/>
      <c r="I28" s="18"/>
      <c r="J28" s="1"/>
      <c r="K28" s="1"/>
      <c r="L28" s="1"/>
      <c r="M28" s="1"/>
      <c r="N28" s="1"/>
    </row>
    <row r="29" spans="1:14" ht="15.6" x14ac:dyDescent="0.3">
      <c r="A29" s="1"/>
      <c r="B29" s="1"/>
      <c r="C29" s="36">
        <v>2020</v>
      </c>
      <c r="D29" s="17">
        <v>10</v>
      </c>
      <c r="E29" s="1" t="s">
        <v>108</v>
      </c>
      <c r="F29" s="1"/>
      <c r="G29" s="36">
        <v>2210</v>
      </c>
      <c r="H29" s="1"/>
      <c r="I29" s="18"/>
      <c r="J29" s="1"/>
      <c r="K29" s="1"/>
      <c r="L29" s="1"/>
      <c r="M29" s="1"/>
      <c r="N29" s="1"/>
    </row>
    <row r="30" spans="1:14" ht="15.6" x14ac:dyDescent="0.3">
      <c r="A30" s="1"/>
      <c r="B30" s="1"/>
      <c r="C30" s="36">
        <v>2021</v>
      </c>
      <c r="D30" s="17">
        <v>10</v>
      </c>
      <c r="E30" s="1" t="s">
        <v>108</v>
      </c>
      <c r="F30" s="1"/>
      <c r="G30" s="36">
        <v>2570</v>
      </c>
      <c r="H30" s="1"/>
      <c r="I30" s="18"/>
      <c r="J30" s="1"/>
      <c r="K30" s="1"/>
      <c r="L30" s="1"/>
      <c r="M30" s="1"/>
      <c r="N30" s="1"/>
    </row>
    <row r="31" spans="1:14" ht="15.6" x14ac:dyDescent="0.3">
      <c r="A31" s="1"/>
      <c r="B31" s="1"/>
      <c r="C31" s="1"/>
      <c r="D31" s="1"/>
      <c r="E31" s="1"/>
      <c r="F31" s="1"/>
      <c r="G31" s="1"/>
      <c r="H31" s="1"/>
      <c r="I31" s="18"/>
      <c r="J31" s="1"/>
      <c r="K31" s="1"/>
      <c r="L31" s="1"/>
      <c r="M31" s="1"/>
      <c r="N31" s="1"/>
    </row>
    <row r="32" spans="1:14" ht="15.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6" x14ac:dyDescent="0.3">
      <c r="A33" s="27"/>
      <c r="B33" s="27"/>
      <c r="C33" s="27"/>
      <c r="D33" s="31" t="s">
        <v>55</v>
      </c>
      <c r="E33" s="31"/>
      <c r="F33" s="27"/>
      <c r="G33" s="27"/>
      <c r="H33" s="27"/>
      <c r="I33" s="27"/>
      <c r="J33" s="1"/>
      <c r="K33" s="1"/>
      <c r="L33" s="1"/>
      <c r="M33" s="1"/>
      <c r="N33" s="1"/>
    </row>
    <row r="34" spans="1:14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6" x14ac:dyDescent="0.3">
      <c r="A35" s="31" t="s">
        <v>56</v>
      </c>
      <c r="B35" s="1"/>
      <c r="C35" s="1"/>
      <c r="D35" s="1"/>
      <c r="E35" s="31" t="s">
        <v>57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ht="15.6" x14ac:dyDescent="0.3">
      <c r="A36" s="1" t="s">
        <v>58</v>
      </c>
      <c r="B36" s="1"/>
      <c r="C36" s="1"/>
      <c r="D36" s="6">
        <v>88936</v>
      </c>
      <c r="E36" s="1" t="s">
        <v>62</v>
      </c>
      <c r="F36" s="1"/>
      <c r="G36" s="1"/>
      <c r="H36" s="1"/>
      <c r="I36" s="6">
        <v>127530</v>
      </c>
      <c r="J36" s="1"/>
      <c r="K36" s="1"/>
      <c r="L36" s="1"/>
      <c r="M36" s="1"/>
      <c r="N36" s="1"/>
    </row>
    <row r="37" spans="1:14" ht="15.6" x14ac:dyDescent="0.3">
      <c r="A37" s="1" t="s">
        <v>43</v>
      </c>
      <c r="B37" s="1"/>
      <c r="C37" s="1"/>
      <c r="D37" s="6">
        <v>5000</v>
      </c>
      <c r="E37" s="1" t="s">
        <v>42</v>
      </c>
      <c r="F37" s="1"/>
      <c r="G37" s="1"/>
      <c r="H37" s="1"/>
      <c r="I37" s="6">
        <v>0</v>
      </c>
      <c r="J37" s="1"/>
      <c r="K37" s="1"/>
      <c r="L37" s="1"/>
      <c r="M37" s="1"/>
      <c r="N37" s="1"/>
    </row>
    <row r="38" spans="1:14" ht="15.6" x14ac:dyDescent="0.3">
      <c r="A38" s="1" t="s">
        <v>59</v>
      </c>
      <c r="B38" s="1"/>
      <c r="C38" s="1"/>
      <c r="D38" s="6">
        <v>0</v>
      </c>
      <c r="E38" s="1" t="s">
        <v>63</v>
      </c>
      <c r="F38" s="1"/>
      <c r="G38" s="1"/>
      <c r="H38" s="1"/>
      <c r="I38" s="6">
        <v>4665</v>
      </c>
      <c r="J38" s="1"/>
      <c r="K38" s="1"/>
      <c r="L38" s="1"/>
      <c r="M38" s="1"/>
      <c r="N38" s="1"/>
    </row>
    <row r="39" spans="1:14" ht="15.6" x14ac:dyDescent="0.3">
      <c r="A39" s="1" t="s">
        <v>60</v>
      </c>
      <c r="B39" s="1"/>
      <c r="C39" s="1"/>
      <c r="D39" s="6">
        <v>38259</v>
      </c>
      <c r="E39" s="1"/>
      <c r="F39" s="1"/>
      <c r="G39" s="1"/>
      <c r="H39" s="1"/>
      <c r="I39" s="6"/>
      <c r="J39" s="1"/>
      <c r="K39" s="1"/>
      <c r="L39" s="1"/>
      <c r="M39" s="1"/>
      <c r="N39" s="1"/>
    </row>
    <row r="40" spans="1:14" ht="15.6" x14ac:dyDescent="0.3">
      <c r="A40" s="31" t="s">
        <v>61</v>
      </c>
      <c r="B40" s="31"/>
      <c r="C40" s="31"/>
      <c r="D40" s="32">
        <f>D36+D37+D38+D39</f>
        <v>132195</v>
      </c>
      <c r="E40" s="31" t="s">
        <v>64</v>
      </c>
      <c r="F40" s="31"/>
      <c r="G40" s="31"/>
      <c r="H40" s="27"/>
      <c r="I40" s="32">
        <f>I36+I37+I38</f>
        <v>132195</v>
      </c>
      <c r="K40" s="1"/>
      <c r="L40" s="1"/>
      <c r="M40" s="1"/>
      <c r="N4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2C49-FA84-437A-9BE5-BC4905875200}">
  <dimension ref="A3:I39"/>
  <sheetViews>
    <sheetView topLeftCell="A3" workbookViewId="0">
      <selection activeCell="G9" sqref="G9"/>
    </sheetView>
  </sheetViews>
  <sheetFormatPr defaultRowHeight="14.4" x14ac:dyDescent="0.3"/>
  <cols>
    <col min="1" max="1" width="74.77734375" customWidth="1"/>
    <col min="7" max="7" width="11" bestFit="1" customWidth="1"/>
    <col min="8" max="8" width="10.44140625" bestFit="1" customWidth="1"/>
  </cols>
  <sheetData>
    <row r="3" spans="1:8" ht="15.6" x14ac:dyDescent="0.3">
      <c r="A3" s="27"/>
      <c r="B3" s="27"/>
      <c r="C3" s="31" t="s">
        <v>79</v>
      </c>
      <c r="D3" s="31"/>
      <c r="E3" s="31"/>
      <c r="F3" s="31"/>
      <c r="G3" s="27"/>
      <c r="H3" s="27"/>
    </row>
    <row r="4" spans="1:8" ht="15.6" x14ac:dyDescent="0.3">
      <c r="A4" s="1"/>
      <c r="B4" s="1"/>
      <c r="C4" s="1"/>
      <c r="D4" s="1"/>
      <c r="E4" s="1"/>
      <c r="F4" s="1"/>
      <c r="G4" s="22" t="s">
        <v>3</v>
      </c>
      <c r="H4" s="22" t="s">
        <v>4</v>
      </c>
    </row>
    <row r="5" spans="1:8" ht="15.6" x14ac:dyDescent="0.3">
      <c r="A5" s="1" t="s">
        <v>80</v>
      </c>
      <c r="B5" s="1"/>
      <c r="C5" s="1"/>
      <c r="D5" s="1"/>
      <c r="E5" s="1"/>
      <c r="F5" s="1"/>
      <c r="G5" s="18"/>
      <c r="H5" s="23"/>
    </row>
    <row r="6" spans="1:8" ht="15.6" x14ac:dyDescent="0.3">
      <c r="A6" s="1" t="s">
        <v>19</v>
      </c>
      <c r="B6" s="1"/>
      <c r="C6" s="1"/>
      <c r="D6" s="1"/>
      <c r="E6" s="1"/>
      <c r="F6" s="1"/>
      <c r="G6" s="18">
        <f>'Buyers FS'!C27</f>
        <v>4.45</v>
      </c>
      <c r="H6" s="23">
        <f>'Buyers FS'!D27</f>
        <v>5.59</v>
      </c>
    </row>
    <row r="7" spans="1:8" ht="15.6" x14ac:dyDescent="0.3">
      <c r="A7" s="1" t="s">
        <v>81</v>
      </c>
      <c r="B7" s="1"/>
      <c r="C7" s="1"/>
      <c r="D7" s="1"/>
      <c r="E7" s="1"/>
      <c r="F7" s="1"/>
      <c r="G7" s="18">
        <f>'Buyers FS'!C26</f>
        <v>10000</v>
      </c>
      <c r="H7" s="18">
        <f>'Buyers FS'!D26</f>
        <v>10000</v>
      </c>
    </row>
    <row r="8" spans="1:8" ht="15.6" x14ac:dyDescent="0.3">
      <c r="A8" s="4" t="s">
        <v>17</v>
      </c>
      <c r="B8" s="1"/>
      <c r="C8" s="1"/>
      <c r="D8" s="1"/>
      <c r="E8" s="1"/>
      <c r="F8" s="1"/>
      <c r="G8" s="16">
        <f>G6*G7</f>
        <v>44500</v>
      </c>
      <c r="H8" s="16">
        <f>H6*H7</f>
        <v>55900</v>
      </c>
    </row>
    <row r="9" spans="1:8" ht="15.6" x14ac:dyDescent="0.3">
      <c r="A9" s="1"/>
      <c r="B9" s="1"/>
      <c r="C9" s="1"/>
      <c r="D9" s="1"/>
      <c r="E9" s="1"/>
      <c r="F9" s="1"/>
      <c r="G9" s="18"/>
      <c r="H9" s="18"/>
    </row>
    <row r="10" spans="1:8" ht="15.6" x14ac:dyDescent="0.3">
      <c r="A10" s="1"/>
      <c r="B10" s="1"/>
      <c r="C10" s="1"/>
      <c r="D10" s="1"/>
      <c r="E10" s="1"/>
      <c r="F10" s="1"/>
      <c r="G10" s="18"/>
      <c r="H10" s="18"/>
    </row>
    <row r="11" spans="1:8" ht="15.6" x14ac:dyDescent="0.3">
      <c r="A11" s="4" t="s">
        <v>82</v>
      </c>
      <c r="B11" s="1"/>
      <c r="C11" s="1"/>
      <c r="D11" s="1"/>
      <c r="E11" s="1"/>
      <c r="F11" s="1"/>
      <c r="G11" s="18"/>
      <c r="H11" s="18"/>
    </row>
    <row r="12" spans="1:8" ht="15.6" x14ac:dyDescent="0.3">
      <c r="A12" s="1" t="s">
        <v>17</v>
      </c>
      <c r="B12" s="1"/>
      <c r="C12" s="1"/>
      <c r="D12" s="1"/>
      <c r="E12" s="1"/>
      <c r="F12" s="1"/>
      <c r="G12" s="16">
        <f>'Target FS'!C25</f>
        <v>6540</v>
      </c>
      <c r="H12" s="16">
        <f>'Target FS'!D25</f>
        <v>8640</v>
      </c>
    </row>
    <row r="13" spans="1:8" ht="15.6" x14ac:dyDescent="0.3">
      <c r="A13" s="1"/>
      <c r="B13" s="1"/>
      <c r="C13" s="1"/>
      <c r="D13" s="1"/>
      <c r="E13" s="1"/>
      <c r="F13" s="1"/>
      <c r="G13" s="18"/>
      <c r="H13" s="18"/>
    </row>
    <row r="14" spans="1:8" ht="15.6" x14ac:dyDescent="0.3">
      <c r="A14" s="1" t="s">
        <v>83</v>
      </c>
      <c r="B14" s="1"/>
      <c r="C14" s="1"/>
      <c r="D14" s="1"/>
      <c r="E14" s="1"/>
      <c r="F14" s="1"/>
      <c r="G14" s="18"/>
      <c r="H14" s="18"/>
    </row>
    <row r="15" spans="1:8" ht="15.6" x14ac:dyDescent="0.3">
      <c r="A15" s="1"/>
      <c r="B15" s="1"/>
      <c r="C15" s="1"/>
      <c r="D15" s="1"/>
      <c r="E15" s="1"/>
      <c r="F15" s="1"/>
      <c r="G15" s="18"/>
      <c r="H15" s="18"/>
    </row>
    <row r="16" spans="1:8" ht="15.6" x14ac:dyDescent="0.3">
      <c r="A16" s="1"/>
      <c r="B16" s="1"/>
      <c r="C16" s="1"/>
      <c r="D16" s="1"/>
      <c r="E16" s="1"/>
      <c r="F16" s="1"/>
      <c r="G16" s="18"/>
      <c r="H16" s="18"/>
    </row>
    <row r="17" spans="1:8" ht="15.6" x14ac:dyDescent="0.3">
      <c r="A17" s="27"/>
      <c r="B17" s="31" t="s">
        <v>84</v>
      </c>
      <c r="C17" s="31"/>
      <c r="D17" s="31"/>
      <c r="E17" s="31"/>
      <c r="F17" s="31"/>
      <c r="G17" s="31"/>
      <c r="H17" s="27"/>
    </row>
    <row r="18" spans="1:8" ht="15.6" x14ac:dyDescent="0.3">
      <c r="A18" s="1" t="s">
        <v>85</v>
      </c>
      <c r="B18" s="1"/>
      <c r="C18" s="1"/>
      <c r="D18" s="1"/>
      <c r="E18" s="1"/>
      <c r="F18" s="1"/>
      <c r="G18" s="18">
        <f>ASSUMPTIONS!G29</f>
        <v>2210</v>
      </c>
      <c r="H18" s="18">
        <f>ASSUMPTIONS!G30</f>
        <v>2570</v>
      </c>
    </row>
    <row r="19" spans="1:8" ht="15.6" x14ac:dyDescent="0.3">
      <c r="A19" s="1" t="s">
        <v>86</v>
      </c>
      <c r="B19" s="1"/>
      <c r="C19" s="1"/>
      <c r="D19" s="1"/>
      <c r="E19" s="1"/>
      <c r="F19" s="1"/>
      <c r="G19" s="18"/>
      <c r="H19" s="18"/>
    </row>
    <row r="20" spans="1:8" ht="15.6" x14ac:dyDescent="0.3">
      <c r="A20" s="2" t="s">
        <v>87</v>
      </c>
      <c r="B20" s="1"/>
      <c r="C20" s="1"/>
      <c r="D20" s="1"/>
      <c r="E20" s="1"/>
      <c r="F20" s="1"/>
      <c r="G20" s="24">
        <v>3557</v>
      </c>
      <c r="H20" s="24">
        <f>G20</f>
        <v>3557</v>
      </c>
    </row>
    <row r="21" spans="1:8" ht="15.6" x14ac:dyDescent="0.3">
      <c r="A21" s="2" t="s">
        <v>88</v>
      </c>
      <c r="B21" s="1"/>
      <c r="C21" s="1"/>
      <c r="D21" s="1"/>
      <c r="E21" s="1"/>
      <c r="F21" s="1"/>
      <c r="G21" s="18">
        <v>25</v>
      </c>
      <c r="H21" s="18">
        <f>G21</f>
        <v>25</v>
      </c>
    </row>
    <row r="22" spans="1:8" ht="15.6" x14ac:dyDescent="0.3">
      <c r="A22" s="2" t="s">
        <v>89</v>
      </c>
      <c r="B22" s="1"/>
      <c r="C22" s="1"/>
      <c r="D22" s="1"/>
      <c r="E22" s="1"/>
      <c r="F22" s="1"/>
      <c r="G22" s="18">
        <f>ASSUMPTIONS!D21</f>
        <v>534</v>
      </c>
      <c r="H22" s="18">
        <f>G22</f>
        <v>534</v>
      </c>
    </row>
    <row r="23" spans="1:8" ht="15.6" x14ac:dyDescent="0.3">
      <c r="A23" s="2" t="s">
        <v>90</v>
      </c>
      <c r="B23" s="1"/>
      <c r="C23" s="1"/>
      <c r="D23" s="1"/>
      <c r="E23" s="1"/>
      <c r="F23" s="1"/>
      <c r="G23" s="18">
        <f>ASSUMPTIONS!I11</f>
        <v>4180</v>
      </c>
      <c r="H23" s="18">
        <f>G23</f>
        <v>4180</v>
      </c>
    </row>
    <row r="24" spans="1:8" ht="15.6" x14ac:dyDescent="0.3">
      <c r="A24" s="9" t="s">
        <v>91</v>
      </c>
      <c r="B24" s="1"/>
      <c r="C24" s="1"/>
      <c r="D24" s="1"/>
      <c r="E24" s="1"/>
      <c r="F24" s="1"/>
      <c r="G24" s="25">
        <f>G18-G20-G21-G22-G23</f>
        <v>-6086</v>
      </c>
      <c r="H24" s="25">
        <f>H18-H20-H21-H22-H23</f>
        <v>-5726</v>
      </c>
    </row>
    <row r="25" spans="1:8" ht="15.6" x14ac:dyDescent="0.3">
      <c r="A25" s="8" t="s">
        <v>92</v>
      </c>
      <c r="B25" s="1"/>
      <c r="C25" s="1"/>
      <c r="D25" s="1"/>
      <c r="E25" s="1"/>
      <c r="F25" s="7">
        <f>ASSUMPTIONS!D26</f>
        <v>25</v>
      </c>
      <c r="G25" s="24">
        <f>G24*F25</f>
        <v>-152150</v>
      </c>
      <c r="H25" s="24">
        <f>H24*F25</f>
        <v>-143150</v>
      </c>
    </row>
    <row r="26" spans="1:8" ht="15.6" x14ac:dyDescent="0.3">
      <c r="A26" s="9" t="s">
        <v>93</v>
      </c>
      <c r="B26" s="1"/>
      <c r="C26" s="1"/>
      <c r="D26" s="1"/>
      <c r="E26" s="1"/>
      <c r="F26" s="1"/>
      <c r="G26" s="25">
        <f>G24*75%</f>
        <v>-4564.5</v>
      </c>
      <c r="H26" s="25">
        <f>H24*75%</f>
        <v>-4294.5</v>
      </c>
    </row>
    <row r="27" spans="1:8" ht="15.6" x14ac:dyDescent="0.3">
      <c r="A27" s="1"/>
      <c r="B27" s="1"/>
      <c r="C27" s="1"/>
      <c r="D27" s="1"/>
      <c r="E27" s="1"/>
      <c r="F27" s="1"/>
      <c r="G27" s="18"/>
      <c r="H27" s="18"/>
    </row>
    <row r="28" spans="1:8" ht="15.6" x14ac:dyDescent="0.3">
      <c r="A28" s="27"/>
      <c r="B28" s="31" t="s">
        <v>94</v>
      </c>
      <c r="C28" s="31"/>
      <c r="D28" s="31"/>
      <c r="E28" s="31"/>
      <c r="F28" s="27"/>
      <c r="G28" s="35"/>
      <c r="H28" s="35"/>
    </row>
    <row r="29" spans="1:8" ht="15.6" x14ac:dyDescent="0.3">
      <c r="A29" s="1" t="s">
        <v>17</v>
      </c>
      <c r="B29" s="1"/>
      <c r="C29" s="1"/>
      <c r="D29" s="1"/>
      <c r="E29" s="1"/>
      <c r="F29" s="1"/>
      <c r="G29" s="24">
        <f>G8+G12+G26</f>
        <v>46475.5</v>
      </c>
      <c r="H29" s="24">
        <f>H8+H12+H26</f>
        <v>60245.5</v>
      </c>
    </row>
    <row r="30" spans="1:8" ht="15.6" x14ac:dyDescent="0.3">
      <c r="A30" s="1" t="s">
        <v>95</v>
      </c>
      <c r="B30" s="1"/>
      <c r="C30" s="1"/>
      <c r="D30" s="1"/>
      <c r="E30" s="1"/>
      <c r="F30" s="1"/>
      <c r="G30" s="18">
        <f>'Buyers FS'!C26</f>
        <v>10000</v>
      </c>
      <c r="H30" s="18">
        <f>G30</f>
        <v>10000</v>
      </c>
    </row>
    <row r="31" spans="1:8" ht="15.6" x14ac:dyDescent="0.3">
      <c r="A31" s="1" t="s">
        <v>96</v>
      </c>
      <c r="B31" s="1"/>
      <c r="C31" s="1"/>
      <c r="D31" s="1"/>
      <c r="E31" s="1"/>
      <c r="F31" s="1"/>
      <c r="G31" s="24">
        <f>ASSUMPTIONS!D39/ASSUMPTIONS!D15</f>
        <v>765.18</v>
      </c>
      <c r="H31" s="24">
        <f>ASSUMPTIONS!D39/ASSUMPTIONS!D15</f>
        <v>765.18</v>
      </c>
    </row>
    <row r="32" spans="1:8" ht="15.6" x14ac:dyDescent="0.3">
      <c r="A32" s="1" t="s">
        <v>97</v>
      </c>
      <c r="B32" s="1"/>
      <c r="C32" s="1"/>
      <c r="D32" s="1"/>
      <c r="E32" s="1"/>
      <c r="F32" s="1"/>
      <c r="G32" s="24">
        <f>G30+G31</f>
        <v>10765.18</v>
      </c>
      <c r="H32" s="24">
        <f>H30+H31</f>
        <v>10765.18</v>
      </c>
    </row>
    <row r="33" spans="1:9" ht="15.6" x14ac:dyDescent="0.3">
      <c r="A33" s="4" t="s">
        <v>19</v>
      </c>
      <c r="B33" s="1"/>
      <c r="C33" s="1"/>
      <c r="D33" s="1"/>
      <c r="E33" s="1"/>
      <c r="F33" s="1"/>
      <c r="G33" s="26">
        <f>G29/G32</f>
        <v>4.3172060290677905</v>
      </c>
      <c r="H33" s="26">
        <f>H29/H32</f>
        <v>5.596330019563073</v>
      </c>
    </row>
    <row r="34" spans="1:9" ht="15.6" x14ac:dyDescent="0.3">
      <c r="A34" s="1"/>
      <c r="B34" s="1"/>
      <c r="C34" s="1"/>
      <c r="D34" s="1"/>
      <c r="E34" s="1"/>
      <c r="F34" s="1"/>
      <c r="G34" s="18"/>
      <c r="H34" s="18"/>
    </row>
    <row r="35" spans="1:9" ht="15.6" x14ac:dyDescent="0.3">
      <c r="A35" s="27"/>
      <c r="B35" s="31" t="s">
        <v>98</v>
      </c>
      <c r="C35" s="31"/>
      <c r="D35" s="27"/>
      <c r="E35" s="27"/>
      <c r="F35" s="27"/>
      <c r="G35" s="27"/>
      <c r="H35" s="27"/>
    </row>
    <row r="36" spans="1:9" ht="15.6" x14ac:dyDescent="0.3">
      <c r="A36" s="1" t="s">
        <v>100</v>
      </c>
      <c r="B36" s="1"/>
      <c r="C36" s="1"/>
      <c r="D36" s="1"/>
      <c r="E36" s="1"/>
      <c r="F36" s="1"/>
      <c r="G36" s="23">
        <f>G33-G6</f>
        <v>-0.13279397093220968</v>
      </c>
      <c r="H36" s="23">
        <f>H33-H6</f>
        <v>6.3300195630731082E-3</v>
      </c>
    </row>
    <row r="37" spans="1:9" ht="15.6" x14ac:dyDescent="0.3">
      <c r="A37" s="1" t="s">
        <v>99</v>
      </c>
      <c r="B37" s="1"/>
      <c r="C37" s="1"/>
      <c r="D37" s="1"/>
      <c r="E37" s="1"/>
      <c r="F37" s="1"/>
      <c r="G37" s="23">
        <v>-3</v>
      </c>
      <c r="H37" s="23">
        <v>0.01</v>
      </c>
    </row>
    <row r="38" spans="1:9" ht="15.6" x14ac:dyDescent="0.3">
      <c r="A38" s="4" t="s">
        <v>101</v>
      </c>
      <c r="B38" s="1"/>
      <c r="C38" s="1"/>
      <c r="D38" s="1"/>
      <c r="E38" s="1"/>
      <c r="F38" s="1"/>
      <c r="G38" s="18">
        <v>2634</v>
      </c>
      <c r="H38" s="18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51F7-F733-4CC2-AFF8-793BB47C0D81}">
  <dimension ref="A3:Q35"/>
  <sheetViews>
    <sheetView tabSelected="1" workbookViewId="0">
      <selection activeCell="L16" sqref="L16"/>
    </sheetView>
  </sheetViews>
  <sheetFormatPr defaultRowHeight="14.4" x14ac:dyDescent="0.3"/>
  <cols>
    <col min="1" max="1" width="35.33203125" customWidth="1"/>
    <col min="2" max="2" width="13.77734375" customWidth="1"/>
    <col min="4" max="4" width="12.109375" customWidth="1"/>
    <col min="5" max="5" width="20.88671875" customWidth="1"/>
    <col min="6" max="6" width="18.33203125" customWidth="1"/>
    <col min="7" max="7" width="18" customWidth="1"/>
  </cols>
  <sheetData>
    <row r="3" spans="1:7" ht="15.6" x14ac:dyDescent="0.3">
      <c r="A3" s="1"/>
      <c r="B3" s="1"/>
      <c r="C3" s="31" t="s">
        <v>102</v>
      </c>
      <c r="D3" s="31" t="s">
        <v>103</v>
      </c>
      <c r="E3" s="33" t="s">
        <v>104</v>
      </c>
      <c r="F3" s="33"/>
      <c r="G3" s="32" t="s">
        <v>105</v>
      </c>
    </row>
    <row r="4" spans="1:7" ht="15.6" x14ac:dyDescent="0.3">
      <c r="A4" s="1"/>
      <c r="B4" s="1"/>
      <c r="C4" s="32" t="s">
        <v>3</v>
      </c>
      <c r="D4" s="32" t="s">
        <v>3</v>
      </c>
      <c r="E4" s="33" t="s">
        <v>109</v>
      </c>
      <c r="F4" s="33" t="s">
        <v>110</v>
      </c>
      <c r="G4" s="32">
        <v>20204</v>
      </c>
    </row>
    <row r="5" spans="1:7" ht="15.6" x14ac:dyDescent="0.3">
      <c r="A5" s="1" t="s">
        <v>21</v>
      </c>
      <c r="B5" s="1"/>
      <c r="C5" s="18">
        <f>'Buyers FS'!B31</f>
        <v>50000</v>
      </c>
      <c r="D5" s="18">
        <f>'Target FS'!B31</f>
        <v>5000</v>
      </c>
      <c r="E5" s="42"/>
      <c r="F5" s="42">
        <f>D5</f>
        <v>5000</v>
      </c>
      <c r="G5" s="19">
        <f>C5</f>
        <v>50000</v>
      </c>
    </row>
    <row r="6" spans="1:7" ht="15.6" x14ac:dyDescent="0.3">
      <c r="A6" s="1" t="s">
        <v>106</v>
      </c>
      <c r="B6" s="1"/>
      <c r="C6" s="18">
        <f>'Buyers FS'!B32</f>
        <v>120000</v>
      </c>
      <c r="D6" s="18">
        <f>'Target FS'!B32</f>
        <v>25000</v>
      </c>
      <c r="E6" s="42"/>
      <c r="F6" s="42"/>
      <c r="G6" s="19">
        <f>C6+D6</f>
        <v>145000</v>
      </c>
    </row>
    <row r="7" spans="1:7" ht="15.6" x14ac:dyDescent="0.3">
      <c r="A7" s="1" t="s">
        <v>23</v>
      </c>
      <c r="B7" s="1"/>
      <c r="C7" s="18">
        <f>'Buyers FS'!B33</f>
        <v>25000</v>
      </c>
      <c r="D7" s="18">
        <f>'Target FS'!B33</f>
        <v>6000</v>
      </c>
      <c r="E7" s="42"/>
      <c r="F7" s="42"/>
      <c r="G7" s="19">
        <f>C7+D7</f>
        <v>31000</v>
      </c>
    </row>
    <row r="8" spans="1:7" ht="15.6" x14ac:dyDescent="0.3">
      <c r="A8" s="4" t="s">
        <v>24</v>
      </c>
      <c r="B8" s="4"/>
      <c r="C8" s="16">
        <f>'Buyers FS'!B34</f>
        <v>195000</v>
      </c>
      <c r="D8" s="16">
        <f>'Target FS'!B34</f>
        <v>36000</v>
      </c>
      <c r="E8" s="42"/>
      <c r="F8" s="42"/>
      <c r="G8" s="20">
        <f>C8+D8</f>
        <v>231000</v>
      </c>
    </row>
    <row r="9" spans="1:7" ht="15.6" x14ac:dyDescent="0.3">
      <c r="A9" s="1"/>
      <c r="B9" s="1"/>
      <c r="C9" s="18"/>
      <c r="D9" s="18"/>
      <c r="E9" s="42"/>
      <c r="F9" s="42"/>
      <c r="G9" s="19"/>
    </row>
    <row r="10" spans="1:7" ht="15.6" x14ac:dyDescent="0.3">
      <c r="A10" s="1" t="s">
        <v>25</v>
      </c>
      <c r="B10" s="1"/>
      <c r="C10" s="18">
        <f>'Buyers FS'!B36</f>
        <v>20000</v>
      </c>
      <c r="D10" s="18">
        <f>'Target FS'!B36</f>
        <v>7000</v>
      </c>
      <c r="E10" s="42"/>
      <c r="F10" s="42"/>
      <c r="G10" s="19">
        <f>C10+D10</f>
        <v>27000</v>
      </c>
    </row>
    <row r="11" spans="1:7" ht="15.6" x14ac:dyDescent="0.3">
      <c r="A11" s="1" t="s">
        <v>26</v>
      </c>
      <c r="B11" s="1"/>
      <c r="C11" s="18">
        <f>'Buyers FS'!B37</f>
        <v>0</v>
      </c>
      <c r="D11" s="18">
        <f>'Target FS'!B37</f>
        <v>0</v>
      </c>
      <c r="E11" s="42">
        <f>ASSUMPTIONS!I9</f>
        <v>29259</v>
      </c>
      <c r="F11" s="42"/>
      <c r="G11" s="19">
        <f>E11</f>
        <v>29259</v>
      </c>
    </row>
    <row r="12" spans="1:7" ht="15.6" x14ac:dyDescent="0.3">
      <c r="A12" s="1" t="s">
        <v>27</v>
      </c>
      <c r="B12" s="1"/>
      <c r="C12" s="18">
        <f>'Buyers FS'!B38</f>
        <v>0</v>
      </c>
      <c r="D12" s="18">
        <f>'Target FS'!B38</f>
        <v>0</v>
      </c>
      <c r="E12" s="42">
        <f>ASSUMPTIONS!I13</f>
        <v>68271</v>
      </c>
      <c r="F12" s="42"/>
      <c r="G12" s="19">
        <f>E12</f>
        <v>68271</v>
      </c>
    </row>
    <row r="13" spans="1:7" ht="15.6" x14ac:dyDescent="0.3">
      <c r="A13" s="1" t="s">
        <v>111</v>
      </c>
      <c r="B13" s="1"/>
      <c r="C13" s="18">
        <v>0</v>
      </c>
      <c r="D13" s="18">
        <v>0</v>
      </c>
      <c r="E13" s="42">
        <f>ASSUMPTIONS!D20</f>
        <v>2668</v>
      </c>
      <c r="F13" s="42"/>
      <c r="G13" s="19">
        <f>E13</f>
        <v>2668</v>
      </c>
    </row>
    <row r="14" spans="1:7" ht="15.6" x14ac:dyDescent="0.3">
      <c r="A14" s="4" t="s">
        <v>107</v>
      </c>
      <c r="B14" s="1"/>
      <c r="C14" s="16">
        <f>'Buyers FS'!B39</f>
        <v>215000</v>
      </c>
      <c r="D14" s="16">
        <f>'Target FS'!B39</f>
        <v>43000</v>
      </c>
      <c r="E14" s="42"/>
      <c r="F14" s="42"/>
      <c r="G14" s="20">
        <f>G8+G10+G12+G11+G13</f>
        <v>358198</v>
      </c>
    </row>
    <row r="15" spans="1:7" ht="15.6" x14ac:dyDescent="0.3">
      <c r="A15" s="1"/>
      <c r="B15" s="1"/>
      <c r="C15" s="18"/>
      <c r="D15" s="18"/>
      <c r="E15" s="42"/>
      <c r="F15" s="42"/>
      <c r="G15" s="19"/>
    </row>
    <row r="16" spans="1:7" ht="15.6" x14ac:dyDescent="0.3">
      <c r="A16" s="1" t="s">
        <v>29</v>
      </c>
      <c r="B16" s="1"/>
      <c r="C16" s="18">
        <f>'Buyers FS'!B41</f>
        <v>130000</v>
      </c>
      <c r="D16" s="18">
        <f>'Target FS'!B41</f>
        <v>13000</v>
      </c>
      <c r="E16" s="42"/>
      <c r="F16" s="42"/>
      <c r="G16" s="19">
        <f>C16+D16</f>
        <v>143000</v>
      </c>
    </row>
    <row r="17" spans="1:17" ht="15.6" x14ac:dyDescent="0.3">
      <c r="A17" s="1" t="s">
        <v>30</v>
      </c>
      <c r="B17" s="1"/>
      <c r="C17" s="18">
        <v>0</v>
      </c>
      <c r="D17" s="18">
        <v>0</v>
      </c>
      <c r="E17" s="42"/>
      <c r="F17" s="42">
        <f>ASSUMPTIONS!D36</f>
        <v>88936</v>
      </c>
      <c r="G17" s="19">
        <v>88936</v>
      </c>
    </row>
    <row r="18" spans="1:17" ht="15.6" x14ac:dyDescent="0.3">
      <c r="A18" s="4" t="s">
        <v>31</v>
      </c>
      <c r="B18" s="1"/>
      <c r="C18" s="16">
        <f>'Buyers FS'!B43</f>
        <v>130000</v>
      </c>
      <c r="D18" s="16">
        <f>'Target FS'!B43</f>
        <v>13000</v>
      </c>
      <c r="E18" s="42"/>
      <c r="F18" s="42"/>
      <c r="G18" s="20">
        <f>G16+G17</f>
        <v>231936</v>
      </c>
    </row>
    <row r="19" spans="1:17" ht="15.6" x14ac:dyDescent="0.3">
      <c r="B19" s="10"/>
      <c r="C19" s="18"/>
      <c r="D19" s="18"/>
      <c r="E19" s="42"/>
      <c r="F19" s="42"/>
      <c r="G19" s="19"/>
    </row>
    <row r="20" spans="1:17" ht="15.6" x14ac:dyDescent="0.3">
      <c r="A20" s="1" t="s">
        <v>32</v>
      </c>
      <c r="B20" s="1"/>
      <c r="C20" s="18">
        <f>'Buyers FS'!B45</f>
        <v>85000</v>
      </c>
      <c r="D20" s="18">
        <f>'Target FS'!B45</f>
        <v>30000</v>
      </c>
      <c r="E20" s="42">
        <f>+ASSUMPTIONS!D39-(ASSUMPTIONS!I38-ASSUMPTIONS!D20)</f>
        <v>36262</v>
      </c>
      <c r="F20" s="42">
        <f>D20</f>
        <v>30000</v>
      </c>
      <c r="G20" s="19">
        <f>C20+D20+E20-F20</f>
        <v>121262</v>
      </c>
      <c r="J20" s="1"/>
      <c r="K20" s="1"/>
    </row>
    <row r="21" spans="1:17" ht="15.6" x14ac:dyDescent="0.3">
      <c r="A21" s="4" t="s">
        <v>33</v>
      </c>
      <c r="B21" s="4"/>
      <c r="C21" s="16">
        <f>'Buyers FS'!B46</f>
        <v>215000</v>
      </c>
      <c r="D21" s="16">
        <f>'Target FS'!B46</f>
        <v>43000</v>
      </c>
      <c r="E21" s="42"/>
      <c r="F21" s="42"/>
      <c r="G21" s="20">
        <f>G18+G20</f>
        <v>353198</v>
      </c>
      <c r="J21" s="1"/>
      <c r="K21" s="1"/>
    </row>
    <row r="22" spans="1:17" ht="15.6" x14ac:dyDescent="0.3">
      <c r="B22" s="10"/>
      <c r="C22" s="10"/>
      <c r="D22" s="10"/>
      <c r="E22" s="10"/>
      <c r="F22" s="10"/>
      <c r="G22" s="10"/>
      <c r="J22" s="1"/>
      <c r="K22" s="1"/>
      <c r="L22" s="1"/>
      <c r="M22" s="1"/>
      <c r="N22" s="1"/>
      <c r="O22" s="1"/>
      <c r="P22" s="1"/>
      <c r="Q22" s="1"/>
    </row>
    <row r="23" spans="1:17" ht="15.6" x14ac:dyDescent="0.3">
      <c r="B23" s="10"/>
      <c r="C23" s="10"/>
      <c r="D23" s="10"/>
      <c r="E23" s="10"/>
      <c r="F23" s="10"/>
      <c r="G23" s="10"/>
      <c r="J23" s="1"/>
      <c r="K23" s="1"/>
      <c r="L23" s="1"/>
      <c r="M23" s="1"/>
      <c r="N23" s="1"/>
      <c r="O23" s="1"/>
      <c r="P23" s="1"/>
      <c r="Q23" s="1"/>
    </row>
    <row r="24" spans="1:17" ht="15.6" x14ac:dyDescent="0.3">
      <c r="J24" s="1"/>
      <c r="K24" s="1"/>
      <c r="L24" s="1"/>
      <c r="M24" s="1"/>
      <c r="N24" s="1"/>
      <c r="O24" s="1"/>
      <c r="P24" s="1"/>
      <c r="Q24" s="1"/>
    </row>
    <row r="25" spans="1:17" ht="15.6" x14ac:dyDescent="0.3">
      <c r="J25" s="4"/>
      <c r="K25" s="1"/>
      <c r="L25" s="4"/>
      <c r="M25" s="4"/>
      <c r="N25" s="1"/>
      <c r="O25" s="1"/>
      <c r="P25" s="1"/>
      <c r="Q25" s="4"/>
    </row>
    <row r="26" spans="1:17" ht="15.6" x14ac:dyDescent="0.3">
      <c r="J26" s="1"/>
      <c r="K26" s="1"/>
      <c r="L26" s="1"/>
      <c r="M26" s="1"/>
      <c r="N26" s="1"/>
      <c r="O26" s="1"/>
      <c r="P26" s="1"/>
      <c r="Q26" s="1"/>
    </row>
    <row r="27" spans="1:17" ht="15.6" x14ac:dyDescent="0.3">
      <c r="J27" s="1"/>
      <c r="K27" s="1"/>
      <c r="L27" s="1"/>
      <c r="M27" s="1"/>
      <c r="N27" s="1"/>
      <c r="O27" s="1"/>
      <c r="P27" s="1"/>
      <c r="Q27" s="1"/>
    </row>
    <row r="28" spans="1:17" ht="15.6" x14ac:dyDescent="0.3">
      <c r="J28" s="1"/>
      <c r="K28" s="1"/>
      <c r="L28" s="1"/>
      <c r="M28" s="1"/>
      <c r="N28" s="1"/>
      <c r="O28" s="1"/>
      <c r="P28" s="1"/>
      <c r="Q28" s="1"/>
    </row>
    <row r="29" spans="1:17" ht="15.6" x14ac:dyDescent="0.3">
      <c r="J29" s="1"/>
      <c r="K29" s="1"/>
      <c r="L29" s="1"/>
      <c r="M29" s="1"/>
      <c r="N29" s="1"/>
      <c r="O29" s="1"/>
      <c r="P29" s="1"/>
      <c r="Q29" s="1"/>
    </row>
    <row r="30" spans="1:17" ht="15.6" x14ac:dyDescent="0.3">
      <c r="J30" s="1"/>
      <c r="K30" s="1"/>
      <c r="L30" s="4"/>
      <c r="M30" s="4"/>
      <c r="N30" s="1"/>
      <c r="O30" s="1"/>
      <c r="P30" s="1"/>
      <c r="Q30" s="4"/>
    </row>
    <row r="31" spans="1:17" ht="15.6" x14ac:dyDescent="0.3">
      <c r="J31" s="4"/>
      <c r="K31" s="1"/>
      <c r="L31" s="1"/>
      <c r="M31" s="1"/>
      <c r="N31" s="1"/>
      <c r="O31" s="1"/>
      <c r="P31" s="1"/>
      <c r="Q31" s="1"/>
    </row>
    <row r="32" spans="1:17" ht="15.6" x14ac:dyDescent="0.3">
      <c r="J32" s="1"/>
      <c r="K32" s="1"/>
      <c r="L32" s="1"/>
      <c r="M32" s="1"/>
      <c r="N32" s="1"/>
      <c r="O32" s="1"/>
      <c r="P32" s="1"/>
      <c r="Q32" s="1"/>
    </row>
    <row r="33" spans="10:17" ht="15.6" x14ac:dyDescent="0.3">
      <c r="J33" s="1"/>
      <c r="K33" s="1"/>
      <c r="L33" s="1"/>
      <c r="M33" s="1"/>
      <c r="N33" s="1"/>
      <c r="O33" s="1"/>
      <c r="P33" s="1"/>
      <c r="Q33" s="1"/>
    </row>
    <row r="34" spans="10:17" ht="15.6" x14ac:dyDescent="0.3">
      <c r="J34" s="1"/>
      <c r="K34" s="1"/>
      <c r="L34" s="1"/>
      <c r="M34" s="1"/>
      <c r="N34" s="1"/>
      <c r="O34" s="1"/>
      <c r="P34" s="1"/>
      <c r="Q34" s="1"/>
    </row>
    <row r="35" spans="10:17" ht="15.6" x14ac:dyDescent="0.3">
      <c r="J35" s="4"/>
      <c r="K35" s="1"/>
      <c r="L35" s="4"/>
      <c r="M35" s="4"/>
      <c r="N35" s="1"/>
      <c r="O35" s="1"/>
      <c r="P35" s="1"/>
      <c r="Q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Buyers FS</vt:lpstr>
      <vt:lpstr>Target FS</vt:lpstr>
      <vt:lpstr>ASSUMPTIONS</vt:lpstr>
      <vt:lpstr>ACCRETION - DILUTION</vt:lpstr>
      <vt:lpstr>TRANSACTION 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mudangulasunny@outlook.com</dc:creator>
  <cp:lastModifiedBy>mudangulasunny@outlook.com</cp:lastModifiedBy>
  <dcterms:created xsi:type="dcterms:W3CDTF">2026-03-30T08:35:57Z</dcterms:created>
  <dcterms:modified xsi:type="dcterms:W3CDTF">2026-04-01T11:27:13Z</dcterms:modified>
</cp:coreProperties>
</file>